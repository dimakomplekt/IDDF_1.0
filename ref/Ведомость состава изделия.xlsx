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mitrii.kriskovets\Desktop\it\2\IDDF_1.0\ref\"/>
    </mc:Choice>
  </mc:AlternateContent>
  <xr:revisionPtr revIDLastSave="0" documentId="13_ncr:1_{62CC386D-723B-4F9B-88BC-70C9D62D6E9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НА ПАРСИНГ" sheetId="1" r:id="rId1"/>
    <sheet name="КВ 1" sheetId="7" r:id="rId2"/>
    <sheet name=" КВ 2" sheetId="9" r:id="rId3"/>
    <sheet name="ПИ 1" sheetId="8" r:id="rId4"/>
    <sheet name="ПИ 2" sheetId="11" r:id="rId5"/>
  </sheets>
  <definedNames>
    <definedName name="_xlnm._FilterDatabase" localSheetId="2" hidden="1">' КВ 2'!$A$3:$H$19</definedName>
    <definedName name="_xlnm._FilterDatabase" localSheetId="1" hidden="1">'КВ 1'!$A$3:$H$76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1" l="1"/>
  <c r="C4" i="11"/>
  <c r="D4" i="11"/>
  <c r="E4" i="11"/>
  <c r="F4" i="11"/>
  <c r="G4" i="11"/>
  <c r="H4" i="11"/>
  <c r="I4" i="11"/>
  <c r="B5" i="11"/>
  <c r="C5" i="11"/>
  <c r="D5" i="11"/>
  <c r="E5" i="11"/>
  <c r="F5" i="11"/>
  <c r="G5" i="11"/>
  <c r="H5" i="11"/>
  <c r="I5" i="11"/>
  <c r="B28" i="8"/>
  <c r="C28" i="8"/>
  <c r="D28" i="8"/>
  <c r="E28" i="8"/>
  <c r="F28" i="8"/>
  <c r="G28" i="8"/>
  <c r="H28" i="8"/>
  <c r="I28" i="8"/>
  <c r="B29" i="8"/>
  <c r="C29" i="8"/>
  <c r="D29" i="8"/>
  <c r="E29" i="8"/>
  <c r="F29" i="8"/>
  <c r="G29" i="8"/>
  <c r="H29" i="8"/>
  <c r="I29" i="8"/>
  <c r="B30" i="8"/>
  <c r="C30" i="8"/>
  <c r="D30" i="8"/>
  <c r="E30" i="8"/>
  <c r="F30" i="8"/>
  <c r="G30" i="8"/>
  <c r="H30" i="8"/>
  <c r="I30" i="8"/>
  <c r="B31" i="8"/>
  <c r="C31" i="8"/>
  <c r="D31" i="8"/>
  <c r="E31" i="8"/>
  <c r="F31" i="8"/>
  <c r="G31" i="8"/>
  <c r="H31" i="8"/>
  <c r="I31" i="8"/>
  <c r="B32" i="8"/>
  <c r="C32" i="8"/>
  <c r="D32" i="8"/>
  <c r="E32" i="8"/>
  <c r="F32" i="8"/>
  <c r="G32" i="8"/>
  <c r="H32" i="8"/>
  <c r="I32" i="8"/>
  <c r="B26" i="8"/>
  <c r="C26" i="8"/>
  <c r="D26" i="8"/>
  <c r="E26" i="8"/>
  <c r="F26" i="8"/>
  <c r="G26" i="8"/>
  <c r="H26" i="8"/>
  <c r="I26" i="8"/>
  <c r="B27" i="8"/>
  <c r="C27" i="8"/>
  <c r="D27" i="8"/>
  <c r="E27" i="8"/>
  <c r="F27" i="8"/>
  <c r="G27" i="8"/>
  <c r="H27" i="8"/>
  <c r="I27" i="8"/>
  <c r="B25" i="8"/>
  <c r="C25" i="8"/>
  <c r="D25" i="8"/>
  <c r="E25" i="8"/>
  <c r="F25" i="8"/>
  <c r="G25" i="8"/>
  <c r="H25" i="8"/>
  <c r="I25" i="8"/>
  <c r="B22" i="8"/>
  <c r="C22" i="8"/>
  <c r="D22" i="8"/>
  <c r="E22" i="8"/>
  <c r="F22" i="8"/>
  <c r="G22" i="8"/>
  <c r="H22" i="8"/>
  <c r="I22" i="8"/>
  <c r="B23" i="8"/>
  <c r="C23" i="8"/>
  <c r="D23" i="8"/>
  <c r="E23" i="8"/>
  <c r="F23" i="8"/>
  <c r="G23" i="8"/>
  <c r="H23" i="8"/>
  <c r="I23" i="8"/>
  <c r="B24" i="8"/>
  <c r="C24" i="8"/>
  <c r="D24" i="8"/>
  <c r="E24" i="8"/>
  <c r="F24" i="8"/>
  <c r="G24" i="8"/>
  <c r="H24" i="8"/>
  <c r="I24" i="8"/>
  <c r="B20" i="8"/>
  <c r="C20" i="8"/>
  <c r="D20" i="8"/>
  <c r="E20" i="8"/>
  <c r="F20" i="8"/>
  <c r="G20" i="8"/>
  <c r="H20" i="8"/>
  <c r="I20" i="8"/>
  <c r="B21" i="8"/>
  <c r="C21" i="8"/>
  <c r="D21" i="8"/>
  <c r="E21" i="8"/>
  <c r="F21" i="8"/>
  <c r="G21" i="8"/>
  <c r="H21" i="8"/>
  <c r="I21" i="8"/>
  <c r="B19" i="8"/>
  <c r="C19" i="8"/>
  <c r="D19" i="8"/>
  <c r="E19" i="8"/>
  <c r="F19" i="8"/>
  <c r="G19" i="8"/>
  <c r="H19" i="8"/>
  <c r="I19" i="8"/>
  <c r="B17" i="8"/>
  <c r="C17" i="8"/>
  <c r="D17" i="8"/>
  <c r="E17" i="8"/>
  <c r="F17" i="8"/>
  <c r="G17" i="8"/>
  <c r="H17" i="8"/>
  <c r="I17" i="8"/>
  <c r="B18" i="8"/>
  <c r="C18" i="8"/>
  <c r="D18" i="8"/>
  <c r="E18" i="8"/>
  <c r="F18" i="8"/>
  <c r="G18" i="8"/>
  <c r="H18" i="8"/>
  <c r="I18" i="8"/>
  <c r="B15" i="8"/>
  <c r="C15" i="8"/>
  <c r="D15" i="8"/>
  <c r="E15" i="8"/>
  <c r="F15" i="8"/>
  <c r="G15" i="8"/>
  <c r="H15" i="8"/>
  <c r="I15" i="8"/>
  <c r="B16" i="8"/>
  <c r="C16" i="8"/>
  <c r="D16" i="8"/>
  <c r="E16" i="8"/>
  <c r="F16" i="8"/>
  <c r="G16" i="8"/>
  <c r="H16" i="8"/>
  <c r="I16" i="8"/>
  <c r="B11" i="8"/>
  <c r="C11" i="8"/>
  <c r="D11" i="8"/>
  <c r="E11" i="8"/>
  <c r="F11" i="8"/>
  <c r="G11" i="8"/>
  <c r="H11" i="8"/>
  <c r="I11" i="8"/>
  <c r="B12" i="8"/>
  <c r="C12" i="8"/>
  <c r="D12" i="8"/>
  <c r="E12" i="8"/>
  <c r="F12" i="8"/>
  <c r="G12" i="8"/>
  <c r="H12" i="8"/>
  <c r="I12" i="8"/>
  <c r="B13" i="8"/>
  <c r="C13" i="8"/>
  <c r="D13" i="8"/>
  <c r="E13" i="8"/>
  <c r="F13" i="8"/>
  <c r="G13" i="8"/>
  <c r="H13" i="8"/>
  <c r="I13" i="8"/>
  <c r="B14" i="8"/>
  <c r="C14" i="8"/>
  <c r="D14" i="8"/>
  <c r="E14" i="8"/>
  <c r="F14" i="8"/>
  <c r="G14" i="8"/>
  <c r="H14" i="8"/>
  <c r="I14" i="8"/>
  <c r="B10" i="8"/>
  <c r="C10" i="8"/>
  <c r="D10" i="8"/>
  <c r="E10" i="8"/>
  <c r="F10" i="8"/>
  <c r="G10" i="8"/>
  <c r="H10" i="8"/>
  <c r="I10" i="8"/>
  <c r="B9" i="8"/>
  <c r="C9" i="8"/>
  <c r="D9" i="8"/>
  <c r="E9" i="8"/>
  <c r="F9" i="8"/>
  <c r="G9" i="8"/>
  <c r="H9" i="8"/>
  <c r="I9" i="8"/>
  <c r="B5" i="8"/>
  <c r="C5" i="8"/>
  <c r="D5" i="8"/>
  <c r="E5" i="8"/>
  <c r="F5" i="8"/>
  <c r="G5" i="8"/>
  <c r="H5" i="8"/>
  <c r="I5" i="8"/>
  <c r="B6" i="8"/>
  <c r="C6" i="8"/>
  <c r="D6" i="8"/>
  <c r="E6" i="8"/>
  <c r="F6" i="8"/>
  <c r="G6" i="8"/>
  <c r="H6" i="8"/>
  <c r="I6" i="8"/>
  <c r="B7" i="8"/>
  <c r="C7" i="8"/>
  <c r="D7" i="8"/>
  <c r="E7" i="8"/>
  <c r="F7" i="8"/>
  <c r="G7" i="8"/>
  <c r="H7" i="8"/>
  <c r="I7" i="8"/>
  <c r="B8" i="8"/>
  <c r="C8" i="8"/>
  <c r="D8" i="8"/>
  <c r="E8" i="8"/>
  <c r="F8" i="8"/>
  <c r="G8" i="8"/>
  <c r="H8" i="8"/>
  <c r="I8" i="8"/>
  <c r="B4" i="8"/>
  <c r="C4" i="8"/>
  <c r="D4" i="8"/>
  <c r="E4" i="8"/>
  <c r="F4" i="8"/>
  <c r="G4" i="8"/>
  <c r="H4" i="8"/>
  <c r="I4" i="8"/>
  <c r="B112" i="1" l="1"/>
  <c r="C112" i="1"/>
  <c r="A112" i="1" s="1"/>
  <c r="B113" i="1"/>
  <c r="C113" i="1"/>
  <c r="A113" i="1" s="1"/>
  <c r="B110" i="1"/>
  <c r="C110" i="1"/>
  <c r="B108" i="1"/>
  <c r="C108" i="1"/>
  <c r="B105" i="1"/>
  <c r="C105" i="1"/>
  <c r="A105" i="1" s="1"/>
  <c r="B106" i="1"/>
  <c r="C106" i="1"/>
  <c r="A106" i="1" s="1"/>
  <c r="B102" i="1"/>
  <c r="C102" i="1"/>
  <c r="B103" i="1"/>
  <c r="C103" i="1"/>
  <c r="A103" i="1" s="1"/>
  <c r="B99" i="1"/>
  <c r="C99" i="1"/>
  <c r="A99" i="1" s="1"/>
  <c r="B100" i="1"/>
  <c r="C100" i="1"/>
  <c r="A100" i="1" s="1"/>
  <c r="B97" i="1"/>
  <c r="C97" i="1"/>
  <c r="B95" i="1"/>
  <c r="C95" i="1"/>
  <c r="B93" i="1"/>
  <c r="C93" i="1"/>
  <c r="A93" i="1" s="1"/>
  <c r="B91" i="1"/>
  <c r="C91" i="1"/>
  <c r="B88" i="1"/>
  <c r="C88" i="1"/>
  <c r="A88" i="1" s="1"/>
  <c r="B89" i="1"/>
  <c r="C89" i="1"/>
  <c r="A89" i="1" s="1"/>
  <c r="B74" i="1"/>
  <c r="C74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73" i="1"/>
  <c r="C73" i="1"/>
  <c r="C71" i="1"/>
  <c r="A71" i="1" s="1"/>
  <c r="B71" i="1"/>
  <c r="B69" i="1"/>
  <c r="B67" i="1"/>
  <c r="C69" i="1"/>
  <c r="C67" i="1"/>
  <c r="A67" i="1" s="1"/>
  <c r="B62" i="1"/>
  <c r="B63" i="1"/>
  <c r="B64" i="1"/>
  <c r="B65" i="1"/>
  <c r="C62" i="1"/>
  <c r="A62" i="1" s="1"/>
  <c r="C63" i="1"/>
  <c r="A63" i="1" s="1"/>
  <c r="C64" i="1"/>
  <c r="A64" i="1" s="1"/>
  <c r="C65" i="1"/>
  <c r="A65" i="1" s="1"/>
  <c r="B59" i="1"/>
  <c r="B60" i="1"/>
  <c r="C59" i="1"/>
  <c r="C60" i="1"/>
  <c r="B54" i="1"/>
  <c r="B55" i="1"/>
  <c r="B56" i="1"/>
  <c r="B57" i="1"/>
  <c r="B52" i="1"/>
  <c r="B50" i="1"/>
  <c r="B49" i="1"/>
  <c r="C52" i="1"/>
  <c r="C54" i="1"/>
  <c r="A54" i="1" s="1"/>
  <c r="C55" i="1"/>
  <c r="A55" i="1" s="1"/>
  <c r="C56" i="1"/>
  <c r="A56" i="1" s="1"/>
  <c r="C57" i="1"/>
  <c r="A57" i="1" s="1"/>
  <c r="C50" i="1"/>
  <c r="C49" i="1"/>
  <c r="C48" i="1"/>
  <c r="B48" i="1"/>
  <c r="B46" i="1"/>
  <c r="C46" i="1"/>
  <c r="A46" i="1" s="1"/>
  <c r="B40" i="1"/>
  <c r="C40" i="1"/>
  <c r="B41" i="1"/>
  <c r="C41" i="1"/>
  <c r="B42" i="1"/>
  <c r="C42" i="1"/>
  <c r="B43" i="1"/>
  <c r="C43" i="1"/>
  <c r="B44" i="1"/>
  <c r="C44" i="1"/>
  <c r="C39" i="1"/>
  <c r="B39" i="1"/>
  <c r="B37" i="1"/>
  <c r="C37" i="1"/>
  <c r="B36" i="1"/>
  <c r="C36" i="1"/>
  <c r="B29" i="1"/>
  <c r="C29" i="1"/>
  <c r="B30" i="1"/>
  <c r="C30" i="1"/>
  <c r="B31" i="1"/>
  <c r="C31" i="1"/>
  <c r="B32" i="1"/>
  <c r="C32" i="1"/>
  <c r="B33" i="1"/>
  <c r="C33" i="1"/>
  <c r="B34" i="1"/>
  <c r="C34" i="1"/>
  <c r="C28" i="1"/>
  <c r="B28" i="1"/>
  <c r="B26" i="1"/>
  <c r="C26" i="1"/>
  <c r="B24" i="1"/>
  <c r="C24" i="1"/>
  <c r="B20" i="1"/>
  <c r="C20" i="1"/>
  <c r="B21" i="1"/>
  <c r="C21" i="1"/>
  <c r="B22" i="1"/>
  <c r="C22" i="1"/>
  <c r="B19" i="1"/>
  <c r="C19" i="1"/>
  <c r="B14" i="1"/>
  <c r="C14" i="1"/>
  <c r="B15" i="1"/>
  <c r="C15" i="1"/>
  <c r="B16" i="1"/>
  <c r="C16" i="1"/>
  <c r="B17" i="1"/>
  <c r="C17" i="1"/>
  <c r="B13" i="1"/>
  <c r="C13" i="1"/>
  <c r="B11" i="1"/>
  <c r="B10" i="1"/>
  <c r="C11" i="1"/>
  <c r="C10" i="1"/>
  <c r="B9" i="1"/>
  <c r="C9" i="1"/>
  <c r="B8" i="1"/>
  <c r="C8" i="1"/>
  <c r="B7" i="1"/>
  <c r="C7" i="1"/>
  <c r="B5" i="1"/>
  <c r="C5" i="1"/>
  <c r="B6" i="1"/>
  <c r="C6" i="1"/>
  <c r="B3" i="1"/>
  <c r="C3" i="1"/>
  <c r="A110" i="1" l="1"/>
  <c r="A102" i="1"/>
  <c r="A95" i="1"/>
  <c r="A97" i="1"/>
  <c r="A108" i="1"/>
  <c r="A91" i="1"/>
  <c r="A78" i="1"/>
  <c r="A74" i="1"/>
  <c r="A39" i="1"/>
  <c r="A76" i="1"/>
  <c r="A81" i="1"/>
  <c r="A84" i="1"/>
  <c r="A79" i="1"/>
  <c r="A86" i="1"/>
  <c r="A85" i="1"/>
  <c r="A80" i="1"/>
  <c r="A83" i="1"/>
  <c r="A77" i="1"/>
  <c r="A73" i="1"/>
  <c r="A82" i="1"/>
  <c r="A44" i="1"/>
  <c r="A48" i="1"/>
  <c r="A69" i="1"/>
  <c r="A43" i="1"/>
  <c r="A41" i="1"/>
  <c r="A60" i="1"/>
  <c r="A59" i="1"/>
  <c r="A3" i="1"/>
  <c r="A11" i="1"/>
  <c r="A17" i="1"/>
  <c r="A16" i="1"/>
  <c r="A13" i="1"/>
  <c r="A40" i="1"/>
  <c r="A52" i="1"/>
  <c r="A49" i="1"/>
  <c r="A15" i="1"/>
  <c r="A50" i="1"/>
  <c r="A42" i="1"/>
  <c r="A14" i="1"/>
  <c r="A37" i="1"/>
  <c r="A36" i="1"/>
  <c r="A29" i="1"/>
  <c r="A30" i="1"/>
  <c r="A31" i="1"/>
  <c r="A32" i="1"/>
  <c r="A33" i="1"/>
  <c r="A34" i="1"/>
  <c r="A28" i="1"/>
  <c r="A26" i="1"/>
  <c r="A24" i="1"/>
  <c r="A20" i="1"/>
  <c r="A21" i="1"/>
  <c r="A22" i="1"/>
  <c r="A19" i="1"/>
  <c r="A6" i="1"/>
  <c r="A7" i="1"/>
  <c r="A8" i="1"/>
  <c r="A9" i="1"/>
  <c r="A10" i="1"/>
  <c r="A5" i="1"/>
</calcChain>
</file>

<file path=xl/sharedStrings.xml><?xml version="1.0" encoding="utf-8"?>
<sst xmlns="http://schemas.openxmlformats.org/spreadsheetml/2006/main" count="1361" uniqueCount="182">
  <si>
    <t>Разраб.</t>
  </si>
  <si>
    <t>Пров.</t>
  </si>
  <si>
    <t>Т. контр</t>
  </si>
  <si>
    <t>Нач. отд.</t>
  </si>
  <si>
    <t>Н. контр.</t>
  </si>
  <si>
    <t>Утв.</t>
  </si>
  <si>
    <t>Компания</t>
  </si>
  <si>
    <t>Дата проверки 2</t>
  </si>
  <si>
    <t>Дата проверки 3</t>
  </si>
  <si>
    <t>Дата проверки 4</t>
  </si>
  <si>
    <t>Дата проверки 5</t>
  </si>
  <si>
    <t xml:space="preserve">Обозначение </t>
  </si>
  <si>
    <t>Наименование</t>
  </si>
  <si>
    <t>Дата проверки 1</t>
  </si>
  <si>
    <t>Секция</t>
  </si>
  <si>
    <t>Деталь / Сборка</t>
  </si>
  <si>
    <t>Деталь</t>
  </si>
  <si>
    <t>Сборка</t>
  </si>
  <si>
    <t>Обечайка в сборе</t>
  </si>
  <si>
    <t>Пр-во</t>
  </si>
  <si>
    <t>Закуп</t>
  </si>
  <si>
    <t>Гайка для контактной сварки DIN 929-M5-A2</t>
  </si>
  <si>
    <t>Шпилька DIN976-1-M6x40-B-8.8-A2</t>
  </si>
  <si>
    <t>-</t>
  </si>
  <si>
    <t>Упор</t>
  </si>
  <si>
    <t>Лист нижний</t>
  </si>
  <si>
    <t>Замок в сборе</t>
  </si>
  <si>
    <t>S 9216K уплотнитель вертикальный</t>
  </si>
  <si>
    <t>S 9216K уплотнитель горизонтальный</t>
  </si>
  <si>
    <t>Втулка дверцы</t>
  </si>
  <si>
    <t>Планка кронштейна</t>
  </si>
  <si>
    <t>Гайка DIN 934 M6x1.0 ZN</t>
  </si>
  <si>
    <t>Винт DIN 7420 M5x16x0.8 A2</t>
  </si>
  <si>
    <t>Винт DIN 965 M5x16x0.8 A2</t>
  </si>
  <si>
    <t>Винт DIN 965 M5x80x0.8 A2</t>
  </si>
  <si>
    <t>Название модели</t>
  </si>
  <si>
    <t>Дата проверки 6</t>
  </si>
  <si>
    <t>Пр-во / Закуп</t>
  </si>
  <si>
    <t>Лист боковой правый</t>
  </si>
  <si>
    <t>Лист боковой левый</t>
  </si>
  <si>
    <t>Лист верхний</t>
  </si>
  <si>
    <t>Уголок правый</t>
  </si>
  <si>
    <t>Состав изделия</t>
  </si>
  <si>
    <t>Наименвоание и артикул изделия</t>
  </si>
  <si>
    <t>Инлет
EP.350.400.C</t>
  </si>
  <si>
    <t>Листов 1</t>
  </si>
  <si>
    <t>№ п/п</t>
  </si>
  <si>
    <t>Обозначение</t>
  </si>
  <si>
    <t>Кол-во на 1 комплект</t>
  </si>
  <si>
    <t>Кол-во на заказ</t>
  </si>
  <si>
    <t>Примечание</t>
  </si>
  <si>
    <t>Комменатрии</t>
  </si>
  <si>
    <t>Ссылки и материалы</t>
  </si>
  <si>
    <t>Инлет настенный</t>
  </si>
  <si>
    <t>Сборочная единица</t>
  </si>
  <si>
    <t>Детали</t>
  </si>
  <si>
    <t>Лист правый</t>
  </si>
  <si>
    <t>Лист левый</t>
  </si>
  <si>
    <t>Рамка в сборе</t>
  </si>
  <si>
    <t>Рамка</t>
  </si>
  <si>
    <t>Фамилия</t>
  </si>
  <si>
    <t>Дата, тел.</t>
  </si>
  <si>
    <t xml:space="preserve">Разработал </t>
  </si>
  <si>
    <t>Проверил</t>
  </si>
  <si>
    <t>Изм.</t>
  </si>
  <si>
    <t>№ документа</t>
  </si>
  <si>
    <t>Секция инспекционная
PZR-VTP-IS-LIS-350-S2-L1240-F2-RAL6029</t>
  </si>
  <si>
    <t>Дверца в сборе</t>
  </si>
  <si>
    <t>Салазки</t>
  </si>
  <si>
    <t>Наименование и артикул изделия</t>
  </si>
  <si>
    <t>Гайка-заклепка М5x13x0.8 A2</t>
  </si>
  <si>
    <t>Короб</t>
  </si>
  <si>
    <t>Шпилька приварная M5x15x0.8 A2</t>
  </si>
  <si>
    <t>Шайба DIN 125 M5 A2</t>
  </si>
  <si>
    <t>Шайба-гровер DIN 127 M5 A2</t>
  </si>
  <si>
    <t>Гайка DIN 934 M5x0.8 A2</t>
  </si>
  <si>
    <t>Короб динамика в сборе</t>
  </si>
  <si>
    <t>Короб динамика</t>
  </si>
  <si>
    <t>Динамик</t>
  </si>
  <si>
    <t>Винт DIN 7500 M3x10x0.5 A2</t>
  </si>
  <si>
    <t>Кронштейн петли</t>
  </si>
  <si>
    <t>Шайба запорной планки</t>
  </si>
  <si>
    <t>Держатель крышки в сборе</t>
  </si>
  <si>
    <t>Приварная гайка DIN 929 M5x0.8 A2</t>
  </si>
  <si>
    <t>Петля</t>
  </si>
  <si>
    <t>Крышка</t>
  </si>
  <si>
    <t>Гайка DIN 934 M3x0.5 A2</t>
  </si>
  <si>
    <t>Детали (покупное изделие)</t>
  </si>
  <si>
    <t>Сборочная единица (покупное изделие)</t>
  </si>
  <si>
    <t>Винт DIN 965 M5x12x0.8 A2</t>
  </si>
  <si>
    <t>Стопор дверцы</t>
  </si>
  <si>
    <t>Замок</t>
  </si>
  <si>
    <t>Держатель замка</t>
  </si>
  <si>
    <t>Винт DIN 912 M4x12x0.7 A2</t>
  </si>
  <si>
    <t>Приёмный кронштейн</t>
  </si>
  <si>
    <t>Приёмный кронштейн в сборе</t>
  </si>
  <si>
    <t>Приварная гайка DIN 929 M4x0.7 ZN</t>
  </si>
  <si>
    <t>Неодимовый магнит (диск) 15х3 с зенковкой 4.5x7.5</t>
  </si>
  <si>
    <t>Винт DIN 929 M4x0.7 ZN</t>
  </si>
  <si>
    <t>Ответный кронштейн и короб в сборе</t>
  </si>
  <si>
    <t>Ответный кронштейн</t>
  </si>
  <si>
    <t>Приварная гайка DIN 929 M6x1 ZN</t>
  </si>
  <si>
    <t>Короб с электроникой в сборе</t>
  </si>
  <si>
    <t>Гайка ТЕХНОТРОН ГсРФ M6x1</t>
  </si>
  <si>
    <t>Прокладка</t>
  </si>
  <si>
    <t>Уголок левый</t>
  </si>
  <si>
    <t>Уехавшие детали от сборки</t>
  </si>
  <si>
    <t>Визуальные метки</t>
  </si>
  <si>
    <t>Шифр меток</t>
  </si>
  <si>
    <t>Обечайка подвижная</t>
  </si>
  <si>
    <t>Втулка направляющая</t>
  </si>
  <si>
    <t>Пластина фронтальная</t>
  </si>
  <si>
    <t>Корпус сенсора в сборе</t>
  </si>
  <si>
    <t>Верхний лист дверцы</t>
  </si>
  <si>
    <t>Нижний лист дверцы</t>
  </si>
  <si>
    <t>Левый лист дверцы</t>
  </si>
  <si>
    <t>Правый лист дверцы</t>
  </si>
  <si>
    <t>Планка запорная</t>
  </si>
  <si>
    <t xml:space="preserve">Лента противопожарная вертикальная </t>
  </si>
  <si>
    <t>Лента противопожарная горизонтальная</t>
  </si>
  <si>
    <t>Производитель</t>
  </si>
  <si>
    <t>Делатель раз</t>
  </si>
  <si>
    <t>Делатель два</t>
  </si>
  <si>
    <t>Инлет
GG.WP.322.C</t>
  </si>
  <si>
    <t>GG.WP.322.C.0001.0001СБ</t>
  </si>
  <si>
    <t>GG.WP.322.C.0001.0010СБ</t>
  </si>
  <si>
    <t>GG.WP.322.C.0001.0011</t>
  </si>
  <si>
    <t>GG.WP.322.C.0001.0012</t>
  </si>
  <si>
    <t>GG.WP.322.C.0001.0013</t>
  </si>
  <si>
    <t>GG.WP.322.C.0001.0014</t>
  </si>
  <si>
    <t>GG.WP.322.C.0001.0015</t>
  </si>
  <si>
    <t>GG.WP.322.C.0001.0016</t>
  </si>
  <si>
    <t>GG.WP.322.C.0001.0020СБ</t>
  </si>
  <si>
    <t>GG.WP.322.C.0001.0021СБ</t>
  </si>
  <si>
    <t>GG.WP.322.C.0001.0022</t>
  </si>
  <si>
    <t>GG.WP.322.C.0001.0023</t>
  </si>
  <si>
    <t>GG.WP.322.C.0001.0030СБ</t>
  </si>
  <si>
    <t>GG.WP.322.C.0001.0040СБ</t>
  </si>
  <si>
    <t>GG.WP.322.C.0001.0041</t>
  </si>
  <si>
    <t>GG.WP.322.C.0001.0050</t>
  </si>
  <si>
    <t>GG.WP.322.C.0001.0060СБ</t>
  </si>
  <si>
    <t>GG.WP.322.C.0001.0061СБ</t>
  </si>
  <si>
    <t>GG.WP.322.C.0001.0062</t>
  </si>
  <si>
    <t>GG.WP.322.C.0001.0063</t>
  </si>
  <si>
    <t>GG.WP.322.C.0001.0064</t>
  </si>
  <si>
    <t>GG.WP.322.C.0001.0065</t>
  </si>
  <si>
    <t>GG.WP.322.C.0001.0066</t>
  </si>
  <si>
    <t>GG.WP.322.C.0001.0067</t>
  </si>
  <si>
    <t>GG.WP.322.C.0001.0068</t>
  </si>
  <si>
    <t>GG.WP.322.C.0001.0069</t>
  </si>
  <si>
    <t>GG.WP.322.C.0001.0070</t>
  </si>
  <si>
    <t>GG.WP.322.C.0001.0071</t>
  </si>
  <si>
    <t>GG.WP.322.C.0001.0072</t>
  </si>
  <si>
    <t>GG.WP.322.C.0001.0073</t>
  </si>
  <si>
    <t>GG.WP.322.C.0001.0080СБ</t>
  </si>
  <si>
    <t>GG.WP.322.C.0001.0081СБ</t>
  </si>
  <si>
    <t>GG.WP.322.C.0001.0082</t>
  </si>
  <si>
    <t>GG.WP.322.C.0001.0090СБ</t>
  </si>
  <si>
    <t>GG.WP.322.C.0001.0091</t>
  </si>
  <si>
    <t>GG.WP.322.C.0001.0100СБ</t>
  </si>
  <si>
    <t>GG.WP.322.C.0001.0101СБ</t>
  </si>
  <si>
    <t>GG.WP.322.C.0001.0102</t>
  </si>
  <si>
    <t>GG.WP.322.C.0001.0111</t>
  </si>
  <si>
    <t>GG.WP.322.C.0001.0112</t>
  </si>
  <si>
    <t>GG.WP.322.C.0001.0113</t>
  </si>
  <si>
    <t>GG.WP.322.C.0001.0114</t>
  </si>
  <si>
    <t>Ивлев</t>
  </si>
  <si>
    <t>GG.WP.322.0001.0001СБ</t>
  </si>
  <si>
    <t>Секция загрузочная GG.WP.322450-S2-L1230-AISI304-TC-СB-A</t>
  </si>
  <si>
    <t>GG.WP.322.0001.0010СБ</t>
  </si>
  <si>
    <t>GG.WP.322.0001.0022</t>
  </si>
  <si>
    <t>GG.WP.322.0001.0023</t>
  </si>
  <si>
    <t>GG.WP.322.0001.0024</t>
  </si>
  <si>
    <t>GG.WP.322.0001.0025</t>
  </si>
  <si>
    <t>GG.WP.322.0001.0026</t>
  </si>
  <si>
    <t>GG.WP.322.0001.0028</t>
  </si>
  <si>
    <t>GG.WP.322.0001.0029</t>
  </si>
  <si>
    <t>GG.WP.322.0001.0031</t>
  </si>
  <si>
    <t>Делатель 3</t>
  </si>
  <si>
    <t>Сюткин</t>
  </si>
  <si>
    <t>Макаревич</t>
  </si>
  <si>
    <t>ООО "МОЯ ОБОРОНА"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</si>
</sst>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scadia Code"/>
      <family val="3"/>
      <charset val="204"/>
    </font>
    <font>
      <sz val="10"/>
      <color theme="1"/>
      <name val="Cascadia Code"/>
      <family val="3"/>
      <charset val="204"/>
    </font>
    <font>
      <sz val="8"/>
      <name val="Arial"/>
      <family val="2"/>
    </font>
    <font>
      <b/>
      <i/>
      <sz val="11"/>
      <name val="Arial"/>
      <family val="2"/>
    </font>
    <font>
      <b/>
      <i/>
      <sz val="10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4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Continuous" vertical="center" wrapText="1"/>
    </xf>
    <xf numFmtId="0" fontId="2" fillId="2" borderId="1" xfId="0" applyNumberFormat="1" applyFont="1" applyFill="1" applyBorder="1" applyAlignment="1">
      <alignment horizontal="centerContinuous" vertical="center" wrapText="1"/>
    </xf>
    <xf numFmtId="49" fontId="2" fillId="4" borderId="1" xfId="0" applyNumberFormat="1" applyFont="1" applyFill="1" applyBorder="1" applyAlignment="1">
      <alignment horizontal="centerContinuous" vertical="center" wrapText="1"/>
    </xf>
    <xf numFmtId="0" fontId="2" fillId="4" borderId="1" xfId="0" applyNumberFormat="1" applyFont="1" applyFill="1" applyBorder="1" applyAlignment="1">
      <alignment horizontal="centerContinuous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1"/>
    <xf numFmtId="0" fontId="4" fillId="0" borderId="2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5" xfId="1" applyNumberFormat="1" applyFont="1" applyBorder="1" applyAlignment="1">
      <alignment horizontal="center" vertical="center" wrapText="1"/>
    </xf>
    <xf numFmtId="0" fontId="6" fillId="0" borderId="6" xfId="1" applyNumberFormat="1" applyFont="1" applyBorder="1" applyAlignment="1">
      <alignment horizontal="center" vertical="center"/>
    </xf>
    <xf numFmtId="0" fontId="7" fillId="0" borderId="6" xfId="1" applyNumberFormat="1" applyFont="1" applyBorder="1" applyAlignment="1">
      <alignment horizontal="center" vertical="center" textRotation="90" wrapText="1"/>
    </xf>
    <xf numFmtId="0" fontId="6" fillId="0" borderId="7" xfId="1" applyNumberFormat="1" applyFont="1" applyBorder="1" applyAlignment="1">
      <alignment horizontal="center" vertical="center"/>
    </xf>
    <xf numFmtId="49" fontId="3" fillId="0" borderId="9" xfId="1" applyNumberFormat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4" fillId="0" borderId="13" xfId="1" applyNumberFormat="1" applyFont="1" applyBorder="1" applyAlignment="1">
      <alignment horizontal="center" vertical="center"/>
    </xf>
    <xf numFmtId="0" fontId="4" fillId="0" borderId="12" xfId="1" applyNumberFormat="1" applyFont="1" applyBorder="1" applyAlignment="1">
      <alignment horizontal="center" vertical="center"/>
    </xf>
    <xf numFmtId="0" fontId="4" fillId="0" borderId="14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14" fontId="7" fillId="0" borderId="17" xfId="1" applyNumberFormat="1" applyFont="1" applyBorder="1" applyAlignment="1">
      <alignment horizontal="center" vertical="center"/>
    </xf>
    <xf numFmtId="0" fontId="7" fillId="0" borderId="17" xfId="1" applyNumberFormat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NumberFormat="1" applyFont="1" applyBorder="1" applyAlignment="1">
      <alignment horizontal="center" vertical="center"/>
    </xf>
    <xf numFmtId="49" fontId="3" fillId="2" borderId="1" xfId="1" applyNumberFormat="1" applyFill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49" fontId="3" fillId="0" borderId="1" xfId="1" applyNumberFormat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NumberForma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4" fillId="0" borderId="10" xfId="1" applyNumberFormat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3" fillId="8" borderId="1" xfId="1" applyNumberForma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6" borderId="1" xfId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Continuous" vertical="center" wrapText="1"/>
    </xf>
    <xf numFmtId="0" fontId="2" fillId="5" borderId="1" xfId="0" applyNumberFormat="1" applyFont="1" applyFill="1" applyBorder="1" applyAlignment="1">
      <alignment horizontal="centerContinuous" vertical="center" wrapText="1"/>
    </xf>
    <xf numFmtId="49" fontId="2" fillId="6" borderId="1" xfId="0" applyNumberFormat="1" applyFont="1" applyFill="1" applyBorder="1" applyAlignment="1">
      <alignment horizontal="centerContinuous" vertical="center" wrapText="1"/>
    </xf>
    <xf numFmtId="0" fontId="2" fillId="6" borderId="1" xfId="0" applyNumberFormat="1" applyFont="1" applyFill="1" applyBorder="1" applyAlignment="1">
      <alignment horizontal="centerContinuous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" vertical="center" wrapText="1"/>
    </xf>
    <xf numFmtId="49" fontId="2" fillId="10" borderId="1" xfId="0" applyNumberFormat="1" applyFont="1" applyFill="1" applyBorder="1" applyAlignment="1">
      <alignment horizontal="centerContinuous" vertical="center" wrapText="1"/>
    </xf>
    <xf numFmtId="0" fontId="2" fillId="10" borderId="1" xfId="0" applyNumberFormat="1" applyFont="1" applyFill="1" applyBorder="1" applyAlignment="1">
      <alignment horizontal="centerContinuous" vertical="center" wrapText="1"/>
    </xf>
    <xf numFmtId="49" fontId="2" fillId="11" borderId="1" xfId="0" applyNumberFormat="1" applyFont="1" applyFill="1" applyBorder="1" applyAlignment="1">
      <alignment horizontal="centerContinuous" vertical="center" wrapText="1"/>
    </xf>
    <xf numFmtId="0" fontId="2" fillId="11" borderId="1" xfId="0" applyNumberFormat="1" applyFont="1" applyFill="1" applyBorder="1" applyAlignment="1">
      <alignment horizontal="centerContinuous" vertical="center" wrapText="1"/>
    </xf>
    <xf numFmtId="49" fontId="2" fillId="3" borderId="1" xfId="0" applyNumberFormat="1" applyFont="1" applyFill="1" applyBorder="1" applyAlignment="1">
      <alignment horizontal="centerContinuous" vertical="center" wrapText="1"/>
    </xf>
    <xf numFmtId="0" fontId="2" fillId="3" borderId="1" xfId="0" applyNumberFormat="1" applyFont="1" applyFill="1" applyBorder="1" applyAlignment="1">
      <alignment horizontal="centerContinuous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Continuous" vertical="center" wrapText="1"/>
    </xf>
    <xf numFmtId="0" fontId="2" fillId="12" borderId="1" xfId="0" applyNumberFormat="1" applyFont="1" applyFill="1" applyBorder="1" applyAlignment="1">
      <alignment horizontal="centerContinuous" vertical="center" wrapText="1"/>
    </xf>
    <xf numFmtId="49" fontId="2" fillId="13" borderId="1" xfId="0" applyNumberFormat="1" applyFont="1" applyFill="1" applyBorder="1" applyAlignment="1">
      <alignment horizontal="centerContinuous" vertical="center" wrapText="1"/>
    </xf>
    <xf numFmtId="0" fontId="2" fillId="13" borderId="1" xfId="0" applyNumberFormat="1" applyFont="1" applyFill="1" applyBorder="1" applyAlignment="1">
      <alignment horizontal="centerContinuous" vertical="center" wrapText="1"/>
    </xf>
    <xf numFmtId="49" fontId="1" fillId="11" borderId="1" xfId="0" applyNumberFormat="1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49" fontId="2" fillId="15" borderId="1" xfId="0" applyNumberFormat="1" applyFont="1" applyFill="1" applyBorder="1" applyAlignment="1">
      <alignment horizontal="centerContinuous" vertical="center" wrapText="1"/>
    </xf>
    <xf numFmtId="0" fontId="2" fillId="15" borderId="1" xfId="0" applyNumberFormat="1" applyFont="1" applyFill="1" applyBorder="1" applyAlignment="1">
      <alignment horizontal="centerContinuous" vertical="center" wrapText="1"/>
    </xf>
    <xf numFmtId="49" fontId="3" fillId="8" borderId="1" xfId="1" applyNumberFormat="1" applyFill="1" applyBorder="1" applyAlignment="1">
      <alignment horizontal="center" vertical="center"/>
    </xf>
    <xf numFmtId="49" fontId="3" fillId="8" borderId="1" xfId="1" applyNumberFormat="1" applyFill="1" applyBorder="1" applyAlignment="1">
      <alignment horizontal="left" vertical="center"/>
    </xf>
    <xf numFmtId="0" fontId="3" fillId="8" borderId="1" xfId="1" applyFill="1" applyBorder="1" applyAlignment="1">
      <alignment horizontal="left" vertical="center"/>
    </xf>
    <xf numFmtId="0" fontId="3" fillId="8" borderId="1" xfId="1" applyFill="1" applyBorder="1" applyAlignment="1">
      <alignment horizontal="center" vertical="center"/>
    </xf>
    <xf numFmtId="0" fontId="6" fillId="0" borderId="18" xfId="1" applyNumberFormat="1" applyFont="1" applyBorder="1" applyAlignment="1">
      <alignment horizontal="center" vertical="center" wrapText="1"/>
    </xf>
    <xf numFmtId="0" fontId="6" fillId="0" borderId="19" xfId="1" applyNumberFormat="1" applyFont="1" applyBorder="1" applyAlignment="1">
      <alignment horizontal="center" vertical="center"/>
    </xf>
    <xf numFmtId="0" fontId="7" fillId="0" borderId="19" xfId="1" applyNumberFormat="1" applyFont="1" applyBorder="1" applyAlignment="1">
      <alignment horizontal="center" vertical="center" textRotation="90" wrapText="1"/>
    </xf>
    <xf numFmtId="0" fontId="6" fillId="0" borderId="22" xfId="1" applyNumberFormat="1" applyFont="1" applyBorder="1" applyAlignment="1">
      <alignment horizontal="center" vertical="center"/>
    </xf>
    <xf numFmtId="0" fontId="6" fillId="8" borderId="10" xfId="1" applyNumberFormat="1" applyFont="1" applyFill="1" applyBorder="1" applyAlignment="1">
      <alignment horizontal="center" vertical="center" wrapText="1"/>
    </xf>
    <xf numFmtId="49" fontId="3" fillId="8" borderId="23" xfId="1" applyNumberFormat="1" applyFill="1" applyBorder="1" applyAlignment="1">
      <alignment horizontal="center" vertical="center"/>
    </xf>
    <xf numFmtId="49" fontId="3" fillId="8" borderId="23" xfId="1" applyNumberFormat="1" applyFill="1" applyBorder="1" applyAlignment="1">
      <alignment horizontal="left" vertical="center" wrapText="1"/>
    </xf>
    <xf numFmtId="0" fontId="3" fillId="8" borderId="23" xfId="1" applyNumberFormat="1" applyFill="1" applyBorder="1" applyAlignment="1">
      <alignment horizontal="center" vertical="center"/>
    </xf>
    <xf numFmtId="49" fontId="3" fillId="8" borderId="14" xfId="1" applyNumberFormat="1" applyFill="1" applyBorder="1" applyAlignment="1">
      <alignment horizontal="center" vertical="center"/>
    </xf>
    <xf numFmtId="0" fontId="6" fillId="8" borderId="15" xfId="1" applyNumberFormat="1" applyFont="1" applyFill="1" applyBorder="1" applyAlignment="1">
      <alignment horizontal="center" vertical="center" wrapText="1"/>
    </xf>
    <xf numFmtId="49" fontId="3" fillId="8" borderId="17" xfId="1" applyNumberFormat="1" applyFill="1" applyBorder="1" applyAlignment="1">
      <alignment horizontal="center" vertical="center"/>
    </xf>
    <xf numFmtId="0" fontId="3" fillId="8" borderId="17" xfId="1" applyFill="1" applyBorder="1" applyAlignment="1">
      <alignment horizontal="center" vertical="center"/>
    </xf>
    <xf numFmtId="0" fontId="6" fillId="8" borderId="18" xfId="1" applyNumberFormat="1" applyFont="1" applyFill="1" applyBorder="1" applyAlignment="1">
      <alignment horizontal="center" vertical="center" wrapText="1"/>
    </xf>
    <xf numFmtId="0" fontId="3" fillId="8" borderId="19" xfId="1" applyFill="1" applyBorder="1" applyAlignment="1">
      <alignment horizontal="center" vertical="center"/>
    </xf>
    <xf numFmtId="0" fontId="3" fillId="8" borderId="19" xfId="1" applyFill="1" applyBorder="1" applyAlignment="1">
      <alignment horizontal="left" vertical="center"/>
    </xf>
    <xf numFmtId="49" fontId="3" fillId="8" borderId="19" xfId="1" applyNumberFormat="1" applyFill="1" applyBorder="1" applyAlignment="1">
      <alignment horizontal="center" vertical="center"/>
    </xf>
    <xf numFmtId="49" fontId="3" fillId="8" borderId="22" xfId="1" applyNumberFormat="1" applyFill="1" applyBorder="1" applyAlignment="1">
      <alignment horizontal="center" vertical="center"/>
    </xf>
    <xf numFmtId="0" fontId="3" fillId="8" borderId="23" xfId="1" applyFill="1" applyBorder="1" applyAlignment="1">
      <alignment horizontal="center" vertical="center"/>
    </xf>
    <xf numFmtId="49" fontId="3" fillId="8" borderId="23" xfId="1" applyNumberFormat="1" applyFill="1" applyBorder="1" applyAlignment="1">
      <alignment horizontal="left" vertical="center"/>
    </xf>
    <xf numFmtId="0" fontId="6" fillId="0" borderId="15" xfId="1" applyNumberFormat="1" applyFont="1" applyBorder="1" applyAlignment="1">
      <alignment horizontal="center" vertical="center" wrapText="1"/>
    </xf>
    <xf numFmtId="49" fontId="3" fillId="0" borderId="17" xfId="1" applyNumberFormat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49" fontId="3" fillId="0" borderId="19" xfId="1" applyNumberFormat="1" applyBorder="1" applyAlignment="1">
      <alignment horizontal="left" vertical="center"/>
    </xf>
    <xf numFmtId="0" fontId="3" fillId="0" borderId="19" xfId="1" applyNumberFormat="1" applyFill="1" applyBorder="1" applyAlignment="1">
      <alignment horizontal="center" vertical="center"/>
    </xf>
    <xf numFmtId="49" fontId="3" fillId="0" borderId="19" xfId="1" applyNumberForma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0" fontId="6" fillId="0" borderId="10" xfId="1" applyNumberFormat="1" applyFont="1" applyBorder="1" applyAlignment="1">
      <alignment horizontal="center" vertical="center" wrapText="1"/>
    </xf>
    <xf numFmtId="0" fontId="3" fillId="0" borderId="23" xfId="1" applyBorder="1" applyAlignment="1">
      <alignment horizontal="center" vertical="center"/>
    </xf>
    <xf numFmtId="49" fontId="3" fillId="0" borderId="23" xfId="1" applyNumberFormat="1" applyBorder="1" applyAlignment="1">
      <alignment horizontal="left" vertical="center"/>
    </xf>
    <xf numFmtId="0" fontId="3" fillId="0" borderId="23" xfId="1" applyNumberFormat="1" applyFill="1" applyBorder="1" applyAlignment="1">
      <alignment horizontal="center" vertical="center"/>
    </xf>
    <xf numFmtId="49" fontId="3" fillId="0" borderId="23" xfId="1" applyNumberFormat="1" applyBorder="1" applyAlignment="1">
      <alignment horizontal="center" vertical="center"/>
    </xf>
    <xf numFmtId="49" fontId="3" fillId="0" borderId="14" xfId="1" applyNumberFormat="1" applyBorder="1" applyAlignment="1">
      <alignment horizontal="center" vertical="center"/>
    </xf>
    <xf numFmtId="0" fontId="3" fillId="0" borderId="25" xfId="1" applyBorder="1"/>
    <xf numFmtId="0" fontId="6" fillId="8" borderId="8" xfId="1" applyNumberFormat="1" applyFont="1" applyFill="1" applyBorder="1" applyAlignment="1">
      <alignment horizontal="center" vertical="center" wrapText="1"/>
    </xf>
    <xf numFmtId="49" fontId="3" fillId="8" borderId="26" xfId="1" applyNumberFormat="1" applyFill="1" applyBorder="1" applyAlignment="1">
      <alignment horizontal="center" vertical="center"/>
    </xf>
    <xf numFmtId="49" fontId="3" fillId="8" borderId="26" xfId="1" applyNumberFormat="1" applyFill="1" applyBorder="1" applyAlignment="1">
      <alignment horizontal="left" vertical="center"/>
    </xf>
    <xf numFmtId="0" fontId="3" fillId="8" borderId="26" xfId="1" applyNumberFormat="1" applyFill="1" applyBorder="1" applyAlignment="1">
      <alignment horizontal="center" vertical="center"/>
    </xf>
    <xf numFmtId="0" fontId="3" fillId="8" borderId="26" xfId="1" applyFill="1" applyBorder="1" applyAlignment="1">
      <alignment horizontal="center" vertical="center"/>
    </xf>
    <xf numFmtId="0" fontId="3" fillId="8" borderId="24" xfId="1" applyFill="1" applyBorder="1" applyAlignment="1">
      <alignment horizontal="center" vertical="center"/>
    </xf>
    <xf numFmtId="0" fontId="4" fillId="0" borderId="23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580BD893-45C5-4F6D-B47D-6B50916BF0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3"/>
  <sheetViews>
    <sheetView tabSelected="1" zoomScale="85" zoomScaleNormal="85" workbookViewId="0">
      <selection activeCell="Q15" sqref="Q15"/>
    </sheetView>
  </sheetViews>
  <sheetFormatPr defaultRowHeight="14.25" x14ac:dyDescent="0.25"/>
  <cols>
    <col min="1" max="3" width="30.7109375" style="1" customWidth="1"/>
    <col min="4" max="17" width="15.7109375" style="1" customWidth="1"/>
    <col min="18" max="18" width="20.7109375" style="1" customWidth="1"/>
    <col min="19" max="19" width="9.140625" style="1"/>
    <col min="20" max="20" width="19.28515625" style="1" customWidth="1"/>
    <col min="21" max="16384" width="9.140625" style="1"/>
  </cols>
  <sheetData>
    <row r="1" spans="1:18" ht="28.5" x14ac:dyDescent="0.25">
      <c r="A1" s="5" t="s">
        <v>35</v>
      </c>
      <c r="B1" s="5" t="s">
        <v>11</v>
      </c>
      <c r="C1" s="5" t="s">
        <v>12</v>
      </c>
      <c r="D1" s="5" t="s">
        <v>15</v>
      </c>
      <c r="E1" s="5" t="s">
        <v>37</v>
      </c>
      <c r="F1" s="5" t="s">
        <v>0</v>
      </c>
      <c r="G1" s="5" t="s">
        <v>13</v>
      </c>
      <c r="H1" s="5" t="s">
        <v>1</v>
      </c>
      <c r="I1" s="5" t="s">
        <v>7</v>
      </c>
      <c r="J1" s="5" t="s">
        <v>2</v>
      </c>
      <c r="K1" s="5" t="s">
        <v>8</v>
      </c>
      <c r="L1" s="5" t="s">
        <v>3</v>
      </c>
      <c r="M1" s="5" t="s">
        <v>9</v>
      </c>
      <c r="N1" s="5" t="s">
        <v>4</v>
      </c>
      <c r="O1" s="5" t="s">
        <v>10</v>
      </c>
      <c r="P1" s="5" t="s">
        <v>5</v>
      </c>
      <c r="Q1" s="5" t="s">
        <v>36</v>
      </c>
      <c r="R1" s="5" t="s">
        <v>6</v>
      </c>
    </row>
    <row r="2" spans="1:18" x14ac:dyDescent="0.25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ht="28.5" x14ac:dyDescent="0.25">
      <c r="A3" s="10" t="str">
        <f>(IF((E3 = "Пр-во"), (B3 &amp; " - " &amp; C3), C3)) &amp; IF(D3="Сборка", ".iam", ".ipt")</f>
        <v>GG.WP.322.C.0001.0001СБ - Инлет настенный.iam</v>
      </c>
      <c r="B3" s="5" t="str">
        <f>'КВ 1'!$B$4</f>
        <v>GG.WP.322.C.0001.0001СБ</v>
      </c>
      <c r="C3" s="5" t="str">
        <f>'КВ 1'!$C$4</f>
        <v>Инлет настенный</v>
      </c>
      <c r="D3" s="3" t="s">
        <v>17</v>
      </c>
      <c r="E3" s="3" t="s">
        <v>19</v>
      </c>
      <c r="F3" s="3" t="s">
        <v>179</v>
      </c>
      <c r="G3" s="15">
        <v>46083</v>
      </c>
      <c r="H3" s="3" t="s">
        <v>180</v>
      </c>
      <c r="I3" s="15">
        <v>46083</v>
      </c>
      <c r="J3" s="3" t="s">
        <v>23</v>
      </c>
      <c r="K3" s="3" t="s">
        <v>23</v>
      </c>
      <c r="L3" s="3" t="s">
        <v>180</v>
      </c>
      <c r="M3" s="15">
        <v>46083</v>
      </c>
      <c r="N3" s="3" t="s">
        <v>180</v>
      </c>
      <c r="O3" s="15">
        <v>46083</v>
      </c>
      <c r="P3" s="3" t="s">
        <v>180</v>
      </c>
      <c r="Q3" s="15">
        <v>46083</v>
      </c>
      <c r="R3" s="3" t="s">
        <v>181</v>
      </c>
    </row>
    <row r="4" spans="1:18" x14ac:dyDescent="0.25">
      <c r="A4" s="12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57" x14ac:dyDescent="0.25">
      <c r="A5" s="10" t="str">
        <f t="shared" ref="A5:A11" si="0">(IF((E5 = "Пр-во"), (B5 &amp; " - " &amp; C5), C5)) &amp; IF(D5="Сборка", ".iam", ".ipt")</f>
        <v>GG.WP.322.0001.0001СБ - Секция загрузочная GG.WP.322450-S2-L1230-AISI304-TC-СB-A.iam</v>
      </c>
      <c r="B5" s="10" t="str">
        <f>' КВ 2'!$B$4</f>
        <v>GG.WP.322.0001.0001СБ</v>
      </c>
      <c r="C5" s="6" t="str">
        <f>' КВ 2'!$C$4</f>
        <v>Секция загрузочная GG.WP.322450-S2-L1230-AISI304-TC-СB-A</v>
      </c>
      <c r="D5" s="3" t="s">
        <v>17</v>
      </c>
      <c r="E5" s="3" t="s">
        <v>19</v>
      </c>
      <c r="F5" s="3" t="s">
        <v>179</v>
      </c>
      <c r="G5" s="15">
        <v>46083</v>
      </c>
      <c r="H5" s="3" t="s">
        <v>180</v>
      </c>
      <c r="I5" s="15">
        <v>46083</v>
      </c>
      <c r="J5" s="3" t="s">
        <v>23</v>
      </c>
      <c r="K5" s="3" t="s">
        <v>23</v>
      </c>
      <c r="L5" s="3" t="s">
        <v>180</v>
      </c>
      <c r="M5" s="15">
        <v>46083</v>
      </c>
      <c r="N5" s="3" t="s">
        <v>180</v>
      </c>
      <c r="O5" s="15">
        <v>46083</v>
      </c>
      <c r="P5" s="3" t="s">
        <v>180</v>
      </c>
      <c r="Q5" s="15">
        <v>46083</v>
      </c>
      <c r="R5" s="3" t="s">
        <v>181</v>
      </c>
    </row>
    <row r="6" spans="1:18" ht="28.5" x14ac:dyDescent="0.25">
      <c r="A6" s="10" t="str">
        <f t="shared" si="0"/>
        <v>GG.WP.322.C.0001.0010СБ - Обечайка подвижная.iam</v>
      </c>
      <c r="B6" s="10" t="str">
        <f>'КВ 1'!$B$5</f>
        <v>GG.WP.322.C.0001.0010СБ</v>
      </c>
      <c r="C6" s="53" t="str">
        <f>'КВ 1'!$C$5</f>
        <v>Обечайка подвижная</v>
      </c>
      <c r="D6" s="3" t="s">
        <v>17</v>
      </c>
      <c r="E6" s="3" t="s">
        <v>19</v>
      </c>
      <c r="F6" s="3" t="s">
        <v>179</v>
      </c>
      <c r="G6" s="15">
        <v>46083</v>
      </c>
      <c r="H6" s="3" t="s">
        <v>180</v>
      </c>
      <c r="I6" s="15">
        <v>46083</v>
      </c>
      <c r="J6" s="3" t="s">
        <v>23</v>
      </c>
      <c r="K6" s="3" t="s">
        <v>23</v>
      </c>
      <c r="L6" s="3" t="s">
        <v>180</v>
      </c>
      <c r="M6" s="15">
        <v>46083</v>
      </c>
      <c r="N6" s="3" t="s">
        <v>180</v>
      </c>
      <c r="O6" s="15">
        <v>46083</v>
      </c>
      <c r="P6" s="3" t="s">
        <v>180</v>
      </c>
      <c r="Q6" s="15">
        <v>46083</v>
      </c>
      <c r="R6" s="3" t="s">
        <v>181</v>
      </c>
    </row>
    <row r="7" spans="1:18" ht="28.5" x14ac:dyDescent="0.25">
      <c r="A7" s="10" t="str">
        <f t="shared" si="0"/>
        <v>GG.WP.322.C.0001.0020СБ - Рамка в сборе.iam</v>
      </c>
      <c r="B7" s="3" t="str">
        <f>'КВ 1'!$B$13</f>
        <v>GG.WP.322.C.0001.0020СБ</v>
      </c>
      <c r="C7" s="7" t="str">
        <f>'КВ 1'!$C$13</f>
        <v>Рамка в сборе</v>
      </c>
      <c r="D7" s="3" t="s">
        <v>17</v>
      </c>
      <c r="E7" s="3" t="s">
        <v>19</v>
      </c>
      <c r="F7" s="3" t="s">
        <v>179</v>
      </c>
      <c r="G7" s="15">
        <v>46083</v>
      </c>
      <c r="H7" s="3" t="s">
        <v>180</v>
      </c>
      <c r="I7" s="15">
        <v>46083</v>
      </c>
      <c r="J7" s="3" t="s">
        <v>23</v>
      </c>
      <c r="K7" s="3" t="s">
        <v>23</v>
      </c>
      <c r="L7" s="3" t="s">
        <v>180</v>
      </c>
      <c r="M7" s="15">
        <v>46083</v>
      </c>
      <c r="N7" s="3" t="s">
        <v>180</v>
      </c>
      <c r="O7" s="15">
        <v>46083</v>
      </c>
      <c r="P7" s="3" t="s">
        <v>180</v>
      </c>
      <c r="Q7" s="15">
        <v>46083</v>
      </c>
      <c r="R7" s="3" t="s">
        <v>181</v>
      </c>
    </row>
    <row r="8" spans="1:18" ht="28.5" x14ac:dyDescent="0.25">
      <c r="A8" s="10" t="str">
        <f t="shared" si="0"/>
        <v>GG.WP.322.C.0001.0060СБ - Дверца в сборе.iam</v>
      </c>
      <c r="B8" s="3" t="str">
        <f>'КВ 1'!$B$31</f>
        <v>GG.WP.322.C.0001.0060СБ</v>
      </c>
      <c r="C8" s="8" t="str">
        <f>'КВ 1'!$C$31</f>
        <v>Дверца в сборе</v>
      </c>
      <c r="D8" s="3" t="s">
        <v>17</v>
      </c>
      <c r="E8" s="3" t="s">
        <v>19</v>
      </c>
      <c r="F8" s="3" t="s">
        <v>179</v>
      </c>
      <c r="G8" s="15">
        <v>46083</v>
      </c>
      <c r="H8" s="3" t="s">
        <v>180</v>
      </c>
      <c r="I8" s="15">
        <v>46083</v>
      </c>
      <c r="J8" s="3" t="s">
        <v>23</v>
      </c>
      <c r="K8" s="3" t="s">
        <v>23</v>
      </c>
      <c r="L8" s="3" t="s">
        <v>180</v>
      </c>
      <c r="M8" s="15">
        <v>46083</v>
      </c>
      <c r="N8" s="3" t="s">
        <v>180</v>
      </c>
      <c r="O8" s="15">
        <v>46083</v>
      </c>
      <c r="P8" s="3" t="s">
        <v>180</v>
      </c>
      <c r="Q8" s="15">
        <v>46083</v>
      </c>
      <c r="R8" s="3" t="s">
        <v>181</v>
      </c>
    </row>
    <row r="9" spans="1:18" ht="28.5" x14ac:dyDescent="0.25">
      <c r="A9" s="10" t="str">
        <f t="shared" si="0"/>
        <v>GG.WP.322.C.0001.0080СБ - Замок в сборе.iam</v>
      </c>
      <c r="B9" s="3" t="str">
        <f>'КВ 1'!$B$49</f>
        <v>GG.WP.322.C.0001.0080СБ</v>
      </c>
      <c r="C9" s="9" t="str">
        <f>'КВ 1'!$C$49</f>
        <v>Замок в сборе</v>
      </c>
      <c r="D9" s="3" t="s">
        <v>17</v>
      </c>
      <c r="E9" s="3" t="s">
        <v>19</v>
      </c>
      <c r="F9" s="3" t="s">
        <v>179</v>
      </c>
      <c r="G9" s="15">
        <v>46083</v>
      </c>
      <c r="H9" s="3" t="s">
        <v>180</v>
      </c>
      <c r="I9" s="15">
        <v>46083</v>
      </c>
      <c r="J9" s="3" t="s">
        <v>23</v>
      </c>
      <c r="K9" s="3" t="s">
        <v>23</v>
      </c>
      <c r="L9" s="3" t="s">
        <v>180</v>
      </c>
      <c r="M9" s="15">
        <v>46083</v>
      </c>
      <c r="N9" s="3" t="s">
        <v>180</v>
      </c>
      <c r="O9" s="15">
        <v>46083</v>
      </c>
      <c r="P9" s="3" t="s">
        <v>180</v>
      </c>
      <c r="Q9" s="15">
        <v>46083</v>
      </c>
      <c r="R9" s="3" t="s">
        <v>181</v>
      </c>
    </row>
    <row r="10" spans="1:18" ht="42.75" x14ac:dyDescent="0.25">
      <c r="A10" s="10" t="str">
        <f t="shared" si="0"/>
        <v>GG.WP.322.C.0001.0090СБ - Приёмный кронштейн в сборе.iam</v>
      </c>
      <c r="B10" s="3" t="str">
        <f>'КВ 1'!$B$54</f>
        <v>GG.WP.322.C.0001.0090СБ</v>
      </c>
      <c r="C10" s="74" t="str">
        <f>'КВ 1'!$C$54</f>
        <v>Приёмный кронштейн в сборе</v>
      </c>
      <c r="D10" s="3" t="s">
        <v>17</v>
      </c>
      <c r="E10" s="3" t="s">
        <v>19</v>
      </c>
      <c r="F10" s="3" t="s">
        <v>179</v>
      </c>
      <c r="G10" s="15">
        <v>46083</v>
      </c>
      <c r="H10" s="3" t="s">
        <v>180</v>
      </c>
      <c r="I10" s="15">
        <v>46083</v>
      </c>
      <c r="J10" s="3" t="s">
        <v>23</v>
      </c>
      <c r="K10" s="3" t="s">
        <v>23</v>
      </c>
      <c r="L10" s="3" t="s">
        <v>180</v>
      </c>
      <c r="M10" s="15">
        <v>46083</v>
      </c>
      <c r="N10" s="3" t="s">
        <v>180</v>
      </c>
      <c r="O10" s="15">
        <v>46083</v>
      </c>
      <c r="P10" s="3" t="s">
        <v>180</v>
      </c>
      <c r="Q10" s="15">
        <v>46083</v>
      </c>
      <c r="R10" s="3" t="s">
        <v>181</v>
      </c>
    </row>
    <row r="11" spans="1:18" ht="42.75" x14ac:dyDescent="0.25">
      <c r="A11" s="10" t="str">
        <f t="shared" si="0"/>
        <v>GG.WP.322.C.0001.0100СБ - Ответный кронштейн и короб в сборе.iam</v>
      </c>
      <c r="B11" s="3" t="str">
        <f>'КВ 1'!$B$59</f>
        <v>GG.WP.322.C.0001.0100СБ</v>
      </c>
      <c r="C11" s="75" t="str">
        <f>'КВ 1'!$C$59</f>
        <v>Ответный кронштейн и короб в сборе</v>
      </c>
      <c r="D11" s="3" t="s">
        <v>17</v>
      </c>
      <c r="E11" s="3" t="s">
        <v>19</v>
      </c>
      <c r="F11" s="3" t="s">
        <v>179</v>
      </c>
      <c r="G11" s="15">
        <v>46083</v>
      </c>
      <c r="H11" s="3" t="s">
        <v>180</v>
      </c>
      <c r="I11" s="15">
        <v>46083</v>
      </c>
      <c r="J11" s="3" t="s">
        <v>23</v>
      </c>
      <c r="K11" s="3" t="s">
        <v>23</v>
      </c>
      <c r="L11" s="3" t="s">
        <v>180</v>
      </c>
      <c r="M11" s="15">
        <v>46083</v>
      </c>
      <c r="N11" s="3" t="s">
        <v>180</v>
      </c>
      <c r="O11" s="15">
        <v>46083</v>
      </c>
      <c r="P11" s="3" t="s">
        <v>180</v>
      </c>
      <c r="Q11" s="15">
        <v>46083</v>
      </c>
      <c r="R11" s="3" t="s">
        <v>181</v>
      </c>
    </row>
    <row r="12" spans="1:18" x14ac:dyDescent="0.25">
      <c r="A12" s="12"/>
      <c r="B12" s="12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8.5" x14ac:dyDescent="0.25">
      <c r="A13" s="10" t="str">
        <f>(IF((E13 = "Пр-во"), (B13 &amp; " - " &amp; C13), C13)) &amp; IF(D13="Сборка", ".iam", ".ipt")</f>
        <v>GG.WP.322.C.0001.0111 - Планка кронштейна.ipt</v>
      </c>
      <c r="B13" s="10" t="str">
        <f>'КВ 1'!$B64</f>
        <v>GG.WP.322.C.0001.0111</v>
      </c>
      <c r="C13" s="10" t="str">
        <f>'КВ 1'!$C64</f>
        <v>Планка кронштейна</v>
      </c>
      <c r="D13" s="4" t="s">
        <v>16</v>
      </c>
      <c r="E13" s="3" t="s">
        <v>19</v>
      </c>
      <c r="F13" s="3" t="s">
        <v>179</v>
      </c>
      <c r="G13" s="15">
        <v>46083</v>
      </c>
      <c r="H13" s="3" t="s">
        <v>180</v>
      </c>
      <c r="I13" s="15">
        <v>46083</v>
      </c>
      <c r="J13" s="3" t="s">
        <v>23</v>
      </c>
      <c r="K13" s="3" t="s">
        <v>23</v>
      </c>
      <c r="L13" s="3" t="s">
        <v>180</v>
      </c>
      <c r="M13" s="15">
        <v>46083</v>
      </c>
      <c r="N13" s="3" t="s">
        <v>180</v>
      </c>
      <c r="O13" s="15">
        <v>46083</v>
      </c>
      <c r="P13" s="3" t="s">
        <v>180</v>
      </c>
      <c r="Q13" s="15">
        <v>46083</v>
      </c>
      <c r="R13" s="3" t="s">
        <v>181</v>
      </c>
    </row>
    <row r="14" spans="1:18" ht="28.5" x14ac:dyDescent="0.25">
      <c r="A14" s="10" t="str">
        <f>(IF((E14 = "Пр-во"), (B14 &amp; " - " &amp; C14), C14)) &amp; IF(D14="Сборка", ".iam", ".ipt")</f>
        <v>GG.WP.322.C.0001.0112 - Прокладка.ipt</v>
      </c>
      <c r="B14" s="10" t="str">
        <f>'КВ 1'!$B65</f>
        <v>GG.WP.322.C.0001.0112</v>
      </c>
      <c r="C14" s="10" t="str">
        <f>'КВ 1'!$C65</f>
        <v>Прокладка</v>
      </c>
      <c r="D14" s="4" t="s">
        <v>16</v>
      </c>
      <c r="E14" s="3" t="s">
        <v>19</v>
      </c>
      <c r="F14" s="3" t="s">
        <v>179</v>
      </c>
      <c r="G14" s="15">
        <v>46083</v>
      </c>
      <c r="H14" s="3" t="s">
        <v>180</v>
      </c>
      <c r="I14" s="15">
        <v>46083</v>
      </c>
      <c r="J14" s="3" t="s">
        <v>23</v>
      </c>
      <c r="K14" s="3" t="s">
        <v>23</v>
      </c>
      <c r="L14" s="3" t="s">
        <v>180</v>
      </c>
      <c r="M14" s="15">
        <v>46083</v>
      </c>
      <c r="N14" s="3" t="s">
        <v>180</v>
      </c>
      <c r="O14" s="15">
        <v>46083</v>
      </c>
      <c r="P14" s="3" t="s">
        <v>180</v>
      </c>
      <c r="Q14" s="15">
        <v>46083</v>
      </c>
      <c r="R14" s="3" t="s">
        <v>181</v>
      </c>
    </row>
    <row r="15" spans="1:18" ht="42.75" x14ac:dyDescent="0.25">
      <c r="A15" s="10" t="str">
        <f>(IF((E15 = "Пр-во"), (B15 &amp; " - " &amp; C15), C15)) &amp; IF(D15="Сборка", ".iam", ".ipt")</f>
        <v>GG.WP.322.C.0001.0113 - S 9216K уплотнитель вертикальный.ipt</v>
      </c>
      <c r="B15" s="10" t="str">
        <f>'КВ 1'!$B66</f>
        <v>GG.WP.322.C.0001.0113</v>
      </c>
      <c r="C15" s="10" t="str">
        <f>'КВ 1'!$C66</f>
        <v>S 9216K уплотнитель вертикальный</v>
      </c>
      <c r="D15" s="4" t="s">
        <v>16</v>
      </c>
      <c r="E15" s="3" t="s">
        <v>19</v>
      </c>
      <c r="F15" s="3" t="s">
        <v>179</v>
      </c>
      <c r="G15" s="15">
        <v>46083</v>
      </c>
      <c r="H15" s="3" t="s">
        <v>180</v>
      </c>
      <c r="I15" s="15">
        <v>46083</v>
      </c>
      <c r="J15" s="3" t="s">
        <v>23</v>
      </c>
      <c r="K15" s="3" t="s">
        <v>23</v>
      </c>
      <c r="L15" s="3" t="s">
        <v>180</v>
      </c>
      <c r="M15" s="15">
        <v>46083</v>
      </c>
      <c r="N15" s="3" t="s">
        <v>180</v>
      </c>
      <c r="O15" s="15">
        <v>46083</v>
      </c>
      <c r="P15" s="3" t="s">
        <v>180</v>
      </c>
      <c r="Q15" s="15">
        <v>46083</v>
      </c>
      <c r="R15" s="3" t="s">
        <v>181</v>
      </c>
    </row>
    <row r="16" spans="1:18" ht="42.75" x14ac:dyDescent="0.25">
      <c r="A16" s="10" t="str">
        <f>(IF((E16 = "Пр-во"), (B16 &amp; " - " &amp; C16), C16)) &amp; IF(D16="Сборка", ".iam", ".ipt")</f>
        <v>GG.WP.322.C.0001.0114 - S 9216K уплотнитель горизонтальный.ipt</v>
      </c>
      <c r="B16" s="10" t="str">
        <f>'КВ 1'!$B67</f>
        <v>GG.WP.322.C.0001.0114</v>
      </c>
      <c r="C16" s="10" t="str">
        <f>'КВ 1'!$C67</f>
        <v>S 9216K уплотнитель горизонтальный</v>
      </c>
      <c r="D16" s="4" t="s">
        <v>16</v>
      </c>
      <c r="E16" s="3" t="s">
        <v>19</v>
      </c>
      <c r="F16" s="3" t="s">
        <v>179</v>
      </c>
      <c r="G16" s="15">
        <v>46083</v>
      </c>
      <c r="H16" s="3" t="s">
        <v>180</v>
      </c>
      <c r="I16" s="15">
        <v>46083</v>
      </c>
      <c r="J16" s="3" t="s">
        <v>23</v>
      </c>
      <c r="K16" s="3" t="s">
        <v>23</v>
      </c>
      <c r="L16" s="3" t="s">
        <v>180</v>
      </c>
      <c r="M16" s="15">
        <v>46083</v>
      </c>
      <c r="N16" s="3" t="s">
        <v>180</v>
      </c>
      <c r="O16" s="15">
        <v>46083</v>
      </c>
      <c r="P16" s="3" t="s">
        <v>180</v>
      </c>
      <c r="Q16" s="15">
        <v>46083</v>
      </c>
      <c r="R16" s="3" t="s">
        <v>181</v>
      </c>
    </row>
    <row r="17" spans="1:20" x14ac:dyDescent="0.25">
      <c r="A17" s="10" t="str">
        <f>(IF((E17 = "Пр-во"), (B17 &amp; " - " &amp; C17), C17)) &amp; IF(D17="Сборка", ".iam", ".ipt")</f>
        <v>Втулка дверцы.ipt</v>
      </c>
      <c r="B17" s="10" t="str">
        <f>'КВ 1'!$B68</f>
        <v>-</v>
      </c>
      <c r="C17" s="10" t="str">
        <f>'КВ 1'!$C68</f>
        <v>Втулка дверцы</v>
      </c>
      <c r="D17" s="4" t="s">
        <v>16</v>
      </c>
      <c r="E17" s="3" t="s">
        <v>20</v>
      </c>
      <c r="F17" s="3" t="s">
        <v>179</v>
      </c>
      <c r="G17" s="15">
        <v>46083</v>
      </c>
      <c r="H17" s="3" t="s">
        <v>180</v>
      </c>
      <c r="I17" s="15">
        <v>46083</v>
      </c>
      <c r="J17" s="3" t="s">
        <v>23</v>
      </c>
      <c r="K17" s="3" t="s">
        <v>23</v>
      </c>
      <c r="L17" s="3" t="s">
        <v>180</v>
      </c>
      <c r="M17" s="15">
        <v>46083</v>
      </c>
      <c r="N17" s="3" t="s">
        <v>180</v>
      </c>
      <c r="O17" s="15">
        <v>46083</v>
      </c>
      <c r="P17" s="3" t="s">
        <v>180</v>
      </c>
      <c r="Q17" s="15">
        <v>46083</v>
      </c>
      <c r="R17" s="3" t="s">
        <v>181</v>
      </c>
    </row>
    <row r="18" spans="1:20" x14ac:dyDescent="0.25">
      <c r="A18" s="12"/>
      <c r="B18" s="12"/>
      <c r="C18" s="1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20" ht="28.5" x14ac:dyDescent="0.25">
      <c r="A19" s="10" t="str">
        <f>(IF((E19 = "Пр-во"), (B19 &amp; " - " &amp; C19), C19)) &amp; IF(D19="Сборка", ".iam", ".ipt")</f>
        <v>Гайка DIN 934 M6x1.0 ZN.ipt</v>
      </c>
      <c r="B19" s="10" t="str">
        <f>'КВ 1'!$B69</f>
        <v>-</v>
      </c>
      <c r="C19" s="10" t="str">
        <f>'КВ 1'!$C69</f>
        <v>Гайка DIN 934 M6x1.0 ZN</v>
      </c>
      <c r="D19" s="4" t="s">
        <v>16</v>
      </c>
      <c r="E19" s="3" t="s">
        <v>20</v>
      </c>
      <c r="F19" s="4" t="s">
        <v>23</v>
      </c>
      <c r="G19" s="4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</row>
    <row r="20" spans="1:20" ht="28.5" x14ac:dyDescent="0.25">
      <c r="A20" s="10" t="str">
        <f>(IF((E20 = "Пр-во"), (B20 &amp; " - " &amp; C20), C20)) &amp; IF(D20="Сборка", ".iam", ".ipt")</f>
        <v>Гайка ТЕХНОТРОН ГсРФ M6x1.ipt</v>
      </c>
      <c r="B20" s="10" t="str">
        <f>'КВ 1'!$B70</f>
        <v>-</v>
      </c>
      <c r="C20" s="10" t="str">
        <f>'КВ 1'!$C70</f>
        <v>Гайка ТЕХНОТРОН ГсРФ M6x1</v>
      </c>
      <c r="D20" s="4" t="s">
        <v>16</v>
      </c>
      <c r="E20" s="3" t="s">
        <v>20</v>
      </c>
      <c r="F20" s="4" t="s">
        <v>23</v>
      </c>
      <c r="G20" s="4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</row>
    <row r="21" spans="1:20" ht="28.5" x14ac:dyDescent="0.25">
      <c r="A21" s="10" t="str">
        <f>(IF((E21 = "Пр-во"), (B21 &amp; " - " &amp; C21), C21)) &amp; IF(D21="Сборка", ".iam", ".ipt")</f>
        <v>Винт DIN 965 M5x16x0.8 A2.ipt</v>
      </c>
      <c r="B21" s="10" t="str">
        <f>'КВ 1'!$B71</f>
        <v>-</v>
      </c>
      <c r="C21" s="10" t="str">
        <f>'КВ 1'!$C71</f>
        <v>Винт DIN 965 M5x16x0.8 A2</v>
      </c>
      <c r="D21" s="4" t="s">
        <v>16</v>
      </c>
      <c r="E21" s="3" t="s">
        <v>20</v>
      </c>
      <c r="F21" s="4" t="s">
        <v>23</v>
      </c>
      <c r="G21" s="4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</row>
    <row r="22" spans="1:20" ht="28.5" x14ac:dyDescent="0.25">
      <c r="A22" s="10" t="str">
        <f>(IF((E22 = "Пр-во"), (B22 &amp; " - " &amp; C22), C22)) &amp; IF(D22="Сборка", ".iam", ".ipt")</f>
        <v>Винт DIN 965 M5x80x0.8 A2.ipt</v>
      </c>
      <c r="B22" s="10" t="str">
        <f>'КВ 1'!$B72</f>
        <v>-</v>
      </c>
      <c r="C22" s="10" t="str">
        <f>'КВ 1'!$C72</f>
        <v>Винт DIN 965 M5x80x0.8 A2</v>
      </c>
      <c r="D22" s="4" t="s">
        <v>16</v>
      </c>
      <c r="E22" s="3" t="s">
        <v>20</v>
      </c>
      <c r="F22" s="4" t="s">
        <v>23</v>
      </c>
      <c r="G22" s="4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</row>
    <row r="23" spans="1:20" x14ac:dyDescent="0.25">
      <c r="A23" s="14"/>
      <c r="B23" s="14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ht="28.5" x14ac:dyDescent="0.25">
      <c r="A24" s="10" t="str">
        <f>(IF((E24 = "Пр-во"), (B24 &amp; " - " &amp; C24), C24)) &amp; IF(D24="Сборка", ".iam", ".ipt")</f>
        <v>GG.WP.322.0001.0010СБ - Обечайка в сборе.iam</v>
      </c>
      <c r="B24" s="10" t="str">
        <f>' КВ 2'!$B$5</f>
        <v>GG.WP.322.0001.0010СБ</v>
      </c>
      <c r="C24" s="5" t="str">
        <f>' КВ 2'!$C$5</f>
        <v>Обечайка в сборе</v>
      </c>
      <c r="D24" s="3" t="s">
        <v>17</v>
      </c>
      <c r="E24" s="3" t="s">
        <v>19</v>
      </c>
      <c r="F24" s="3" t="s">
        <v>179</v>
      </c>
      <c r="G24" s="15">
        <v>46083</v>
      </c>
      <c r="H24" s="3" t="s">
        <v>180</v>
      </c>
      <c r="I24" s="15">
        <v>46083</v>
      </c>
      <c r="J24" s="3" t="s">
        <v>23</v>
      </c>
      <c r="K24" s="3" t="s">
        <v>23</v>
      </c>
      <c r="L24" s="3" t="s">
        <v>180</v>
      </c>
      <c r="M24" s="15">
        <v>46083</v>
      </c>
      <c r="N24" s="3" t="s">
        <v>180</v>
      </c>
      <c r="O24" s="15">
        <v>46083</v>
      </c>
      <c r="P24" s="3" t="s">
        <v>180</v>
      </c>
      <c r="Q24" s="15">
        <v>46083</v>
      </c>
      <c r="R24" s="3" t="s">
        <v>181</v>
      </c>
    </row>
    <row r="25" spans="1:20" x14ac:dyDescent="0.25">
      <c r="A25" s="14"/>
      <c r="B25" s="14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2"/>
      <c r="T25" s="2"/>
    </row>
    <row r="26" spans="1:20" ht="28.5" x14ac:dyDescent="0.25">
      <c r="A26" s="10" t="str">
        <f>(IF((E26 = "Пр-во"), (B26 &amp; " - " &amp; C26), C26)) &amp; IF(D26="Сборка", ".iam", ".ipt")</f>
        <v>GG.WP.322.0001.0031 - Секция.ipt</v>
      </c>
      <c r="B26" s="54" t="str">
        <f>' КВ 2'!$B$15</f>
        <v>GG.WP.322.0001.0031</v>
      </c>
      <c r="C26" s="4" t="str">
        <f>' КВ 2'!$C$15</f>
        <v>Секция</v>
      </c>
      <c r="D26" s="4" t="s">
        <v>16</v>
      </c>
      <c r="E26" s="3" t="s">
        <v>19</v>
      </c>
      <c r="F26" s="3" t="s">
        <v>179</v>
      </c>
      <c r="G26" s="15">
        <v>46083</v>
      </c>
      <c r="H26" s="3" t="s">
        <v>180</v>
      </c>
      <c r="I26" s="15">
        <v>46083</v>
      </c>
      <c r="J26" s="3" t="s">
        <v>23</v>
      </c>
      <c r="K26" s="3" t="s">
        <v>23</v>
      </c>
      <c r="L26" s="3" t="s">
        <v>180</v>
      </c>
      <c r="M26" s="15">
        <v>46083</v>
      </c>
      <c r="N26" s="3" t="s">
        <v>180</v>
      </c>
      <c r="O26" s="15">
        <v>46083</v>
      </c>
      <c r="P26" s="3" t="s">
        <v>180</v>
      </c>
      <c r="Q26" s="15">
        <v>46083</v>
      </c>
      <c r="R26" s="3" t="s">
        <v>181</v>
      </c>
      <c r="S26" s="2"/>
      <c r="T26" s="2"/>
    </row>
    <row r="27" spans="1:20" x14ac:dyDescent="0.25">
      <c r="A27" s="14"/>
      <c r="B27" s="14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ht="28.5" x14ac:dyDescent="0.25">
      <c r="A28" s="10" t="str">
        <f t="shared" ref="A28:A34" si="1">(IF((E28 = "Пр-во"), (B28 &amp; " - " &amp; C28), C28)) &amp; IF(D28="Сборка", ".iam", ".ipt")</f>
        <v>GG.WP.322.0001.0022 - Лист нижний.ipt</v>
      </c>
      <c r="B28" s="10" t="str">
        <f>' КВ 2'!$B6</f>
        <v>GG.WP.322.0001.0022</v>
      </c>
      <c r="C28" s="3" t="str">
        <f>' КВ 2'!$C6</f>
        <v>Лист нижний</v>
      </c>
      <c r="D28" s="4" t="s">
        <v>16</v>
      </c>
      <c r="E28" s="3" t="s">
        <v>19</v>
      </c>
      <c r="F28" s="3" t="s">
        <v>179</v>
      </c>
      <c r="G28" s="15">
        <v>46083</v>
      </c>
      <c r="H28" s="3" t="s">
        <v>180</v>
      </c>
      <c r="I28" s="15">
        <v>46083</v>
      </c>
      <c r="J28" s="3" t="s">
        <v>23</v>
      </c>
      <c r="K28" s="3" t="s">
        <v>23</v>
      </c>
      <c r="L28" s="3" t="s">
        <v>180</v>
      </c>
      <c r="M28" s="15">
        <v>46083</v>
      </c>
      <c r="N28" s="3" t="s">
        <v>180</v>
      </c>
      <c r="O28" s="15">
        <v>46083</v>
      </c>
      <c r="P28" s="3" t="s">
        <v>180</v>
      </c>
      <c r="Q28" s="15">
        <v>46083</v>
      </c>
      <c r="R28" s="3" t="s">
        <v>181</v>
      </c>
    </row>
    <row r="29" spans="1:20" ht="28.5" x14ac:dyDescent="0.25">
      <c r="A29" s="10" t="str">
        <f t="shared" si="1"/>
        <v>GG.WP.322.0001.0023 - Упор.ipt</v>
      </c>
      <c r="B29" s="10" t="str">
        <f>' КВ 2'!$B7</f>
        <v>GG.WP.322.0001.0023</v>
      </c>
      <c r="C29" s="3" t="str">
        <f>' КВ 2'!$C7</f>
        <v>Упор</v>
      </c>
      <c r="D29" s="4" t="s">
        <v>16</v>
      </c>
      <c r="E29" s="3" t="s">
        <v>19</v>
      </c>
      <c r="F29" s="3" t="s">
        <v>179</v>
      </c>
      <c r="G29" s="15">
        <v>46083</v>
      </c>
      <c r="H29" s="3" t="s">
        <v>180</v>
      </c>
      <c r="I29" s="15">
        <v>46083</v>
      </c>
      <c r="J29" s="3" t="s">
        <v>23</v>
      </c>
      <c r="K29" s="3" t="s">
        <v>23</v>
      </c>
      <c r="L29" s="3" t="s">
        <v>180</v>
      </c>
      <c r="M29" s="15">
        <v>46083</v>
      </c>
      <c r="N29" s="3" t="s">
        <v>180</v>
      </c>
      <c r="O29" s="15">
        <v>46083</v>
      </c>
      <c r="P29" s="3" t="s">
        <v>180</v>
      </c>
      <c r="Q29" s="15">
        <v>46083</v>
      </c>
      <c r="R29" s="3" t="s">
        <v>181</v>
      </c>
    </row>
    <row r="30" spans="1:20" ht="28.5" x14ac:dyDescent="0.25">
      <c r="A30" s="10" t="str">
        <f t="shared" si="1"/>
        <v>GG.WP.322.0001.0024 - Лист боковой правый.ipt</v>
      </c>
      <c r="B30" s="10" t="str">
        <f>' КВ 2'!$B8</f>
        <v>GG.WP.322.0001.0024</v>
      </c>
      <c r="C30" s="3" t="str">
        <f>' КВ 2'!$C8</f>
        <v>Лист боковой правый</v>
      </c>
      <c r="D30" s="4" t="s">
        <v>16</v>
      </c>
      <c r="E30" s="3" t="s">
        <v>19</v>
      </c>
      <c r="F30" s="3" t="s">
        <v>179</v>
      </c>
      <c r="G30" s="15">
        <v>46083</v>
      </c>
      <c r="H30" s="3" t="s">
        <v>180</v>
      </c>
      <c r="I30" s="15">
        <v>46083</v>
      </c>
      <c r="J30" s="3" t="s">
        <v>23</v>
      </c>
      <c r="K30" s="3" t="s">
        <v>23</v>
      </c>
      <c r="L30" s="3" t="s">
        <v>180</v>
      </c>
      <c r="M30" s="15">
        <v>46083</v>
      </c>
      <c r="N30" s="3" t="s">
        <v>180</v>
      </c>
      <c r="O30" s="15">
        <v>46083</v>
      </c>
      <c r="P30" s="3" t="s">
        <v>180</v>
      </c>
      <c r="Q30" s="15">
        <v>46083</v>
      </c>
      <c r="R30" s="3" t="s">
        <v>181</v>
      </c>
    </row>
    <row r="31" spans="1:20" ht="28.5" x14ac:dyDescent="0.25">
      <c r="A31" s="10" t="str">
        <f t="shared" si="1"/>
        <v>GG.WP.322.0001.0025 - Лист боковой левый.ipt</v>
      </c>
      <c r="B31" s="10" t="str">
        <f>' КВ 2'!$B9</f>
        <v>GG.WP.322.0001.0025</v>
      </c>
      <c r="C31" s="3" t="str">
        <f>' КВ 2'!$C9</f>
        <v>Лист боковой левый</v>
      </c>
      <c r="D31" s="4" t="s">
        <v>16</v>
      </c>
      <c r="E31" s="3" t="s">
        <v>19</v>
      </c>
      <c r="F31" s="3" t="s">
        <v>179</v>
      </c>
      <c r="G31" s="15">
        <v>46083</v>
      </c>
      <c r="H31" s="3" t="s">
        <v>180</v>
      </c>
      <c r="I31" s="15">
        <v>46083</v>
      </c>
      <c r="J31" s="3" t="s">
        <v>23</v>
      </c>
      <c r="K31" s="3" t="s">
        <v>23</v>
      </c>
      <c r="L31" s="3" t="s">
        <v>180</v>
      </c>
      <c r="M31" s="15">
        <v>46083</v>
      </c>
      <c r="N31" s="3" t="s">
        <v>180</v>
      </c>
      <c r="O31" s="15">
        <v>46083</v>
      </c>
      <c r="P31" s="3" t="s">
        <v>180</v>
      </c>
      <c r="Q31" s="15">
        <v>46083</v>
      </c>
      <c r="R31" s="3" t="s">
        <v>181</v>
      </c>
    </row>
    <row r="32" spans="1:20" ht="28.5" x14ac:dyDescent="0.25">
      <c r="A32" s="10" t="str">
        <f t="shared" si="1"/>
        <v>GG.WP.322.0001.0026 - Лист верхний.ipt</v>
      </c>
      <c r="B32" s="10" t="str">
        <f>' КВ 2'!$B10</f>
        <v>GG.WP.322.0001.0026</v>
      </c>
      <c r="C32" s="3" t="str">
        <f>' КВ 2'!$C10</f>
        <v>Лист верхний</v>
      </c>
      <c r="D32" s="4" t="s">
        <v>16</v>
      </c>
      <c r="E32" s="3" t="s">
        <v>19</v>
      </c>
      <c r="F32" s="3" t="s">
        <v>179</v>
      </c>
      <c r="G32" s="15">
        <v>46083</v>
      </c>
      <c r="H32" s="3" t="s">
        <v>180</v>
      </c>
      <c r="I32" s="15">
        <v>46083</v>
      </c>
      <c r="J32" s="3" t="s">
        <v>23</v>
      </c>
      <c r="K32" s="3" t="s">
        <v>23</v>
      </c>
      <c r="L32" s="3" t="s">
        <v>180</v>
      </c>
      <c r="M32" s="15">
        <v>46083</v>
      </c>
      <c r="N32" s="3" t="s">
        <v>180</v>
      </c>
      <c r="O32" s="15">
        <v>46083</v>
      </c>
      <c r="P32" s="3" t="s">
        <v>180</v>
      </c>
      <c r="Q32" s="15">
        <v>46083</v>
      </c>
      <c r="R32" s="3" t="s">
        <v>181</v>
      </c>
    </row>
    <row r="33" spans="1:18" ht="28.5" x14ac:dyDescent="0.25">
      <c r="A33" s="10" t="str">
        <f t="shared" si="1"/>
        <v>GG.WP.322.0001.0028 - Уголок правый.ipt</v>
      </c>
      <c r="B33" s="10" t="str">
        <f>' КВ 2'!$B11</f>
        <v>GG.WP.322.0001.0028</v>
      </c>
      <c r="C33" s="3" t="str">
        <f>' КВ 2'!$C11</f>
        <v>Уголок правый</v>
      </c>
      <c r="D33" s="4" t="s">
        <v>16</v>
      </c>
      <c r="E33" s="3" t="s">
        <v>19</v>
      </c>
      <c r="F33" s="3" t="s">
        <v>179</v>
      </c>
      <c r="G33" s="15">
        <v>46083</v>
      </c>
      <c r="H33" s="3" t="s">
        <v>180</v>
      </c>
      <c r="I33" s="15">
        <v>46083</v>
      </c>
      <c r="J33" s="3" t="s">
        <v>23</v>
      </c>
      <c r="K33" s="3" t="s">
        <v>23</v>
      </c>
      <c r="L33" s="3" t="s">
        <v>180</v>
      </c>
      <c r="M33" s="15">
        <v>46083</v>
      </c>
      <c r="N33" s="3" t="s">
        <v>180</v>
      </c>
      <c r="O33" s="15">
        <v>46083</v>
      </c>
      <c r="P33" s="3" t="s">
        <v>180</v>
      </c>
      <c r="Q33" s="15">
        <v>46083</v>
      </c>
      <c r="R33" s="3" t="s">
        <v>181</v>
      </c>
    </row>
    <row r="34" spans="1:18" ht="28.5" x14ac:dyDescent="0.25">
      <c r="A34" s="10" t="str">
        <f t="shared" si="1"/>
        <v>GG.WP.322.0001.0029 - Уголок левый.ipt</v>
      </c>
      <c r="B34" s="10" t="str">
        <f>' КВ 2'!$B12</f>
        <v>GG.WP.322.0001.0029</v>
      </c>
      <c r="C34" s="3" t="str">
        <f>' КВ 2'!$C12</f>
        <v>Уголок левый</v>
      </c>
      <c r="D34" s="4" t="s">
        <v>16</v>
      </c>
      <c r="E34" s="3" t="s">
        <v>19</v>
      </c>
      <c r="F34" s="3" t="s">
        <v>179</v>
      </c>
      <c r="G34" s="15">
        <v>46083</v>
      </c>
      <c r="H34" s="3" t="s">
        <v>180</v>
      </c>
      <c r="I34" s="15">
        <v>46083</v>
      </c>
      <c r="J34" s="3" t="s">
        <v>23</v>
      </c>
      <c r="K34" s="3" t="s">
        <v>23</v>
      </c>
      <c r="L34" s="3" t="s">
        <v>180</v>
      </c>
      <c r="M34" s="15">
        <v>46083</v>
      </c>
      <c r="N34" s="3" t="s">
        <v>180</v>
      </c>
      <c r="O34" s="15">
        <v>46083</v>
      </c>
      <c r="P34" s="3" t="s">
        <v>180</v>
      </c>
      <c r="Q34" s="15">
        <v>46083</v>
      </c>
      <c r="R34" s="3" t="s">
        <v>181</v>
      </c>
    </row>
    <row r="35" spans="1:18" x14ac:dyDescent="0.25">
      <c r="A35" s="14"/>
      <c r="B35" s="14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18" ht="28.5" x14ac:dyDescent="0.25">
      <c r="A36" s="10" t="str">
        <f>(IF((E36 = "Пр-во"), (B36 &amp; " - " &amp; C36), C36)) &amp; IF(D36="Сборка", ".iam", ".ipt")</f>
        <v>Гайка для контактной сварки DIN 929-M5-A2.ipt</v>
      </c>
      <c r="B36" s="54" t="str">
        <f>' КВ 2'!$B13</f>
        <v>-</v>
      </c>
      <c r="C36" s="4" t="str">
        <f>' КВ 2'!$C13</f>
        <v>Гайка для контактной сварки DIN 929-M5-A2</v>
      </c>
      <c r="D36" s="4" t="s">
        <v>16</v>
      </c>
      <c r="E36" s="4" t="s">
        <v>20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</row>
    <row r="37" spans="1:18" ht="28.5" x14ac:dyDescent="0.25">
      <c r="A37" s="10" t="str">
        <f>(IF((E37 = "Пр-во"), (B37 &amp; " - " &amp; C37), C37)) &amp; IF(D37="Сборка", ".iam", ".ipt")</f>
        <v>Шпилька DIN976-1-M6x40-B-8.8-A2.ipt</v>
      </c>
      <c r="B37" s="54" t="str">
        <f>' КВ 2'!$B14</f>
        <v>-</v>
      </c>
      <c r="C37" s="4" t="str">
        <f>' КВ 2'!$C14</f>
        <v>Шпилька DIN976-1-M6x40-B-8.8-A2</v>
      </c>
      <c r="D37" s="4" t="s">
        <v>16</v>
      </c>
      <c r="E37" s="4" t="s">
        <v>20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</row>
    <row r="38" spans="1:18" x14ac:dyDescent="0.25">
      <c r="A38" s="57"/>
      <c r="B38" s="57"/>
      <c r="C38" s="57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</row>
    <row r="39" spans="1:18" ht="28.5" x14ac:dyDescent="0.25">
      <c r="A39" s="10" t="str">
        <f t="shared" ref="A39:A44" si="2">(IF((E39 = "Пр-во"), (B39 &amp; " - " &amp; C39), C39)) &amp; IF(D39="Сборка", ".iam", ".ipt")</f>
        <v>GG.WP.322.C.0001.0011 - Лист нижний.ipt</v>
      </c>
      <c r="B39" s="3" t="str">
        <f>'КВ 1'!$B6</f>
        <v>GG.WP.322.C.0001.0011</v>
      </c>
      <c r="C39" s="10" t="str">
        <f>'КВ 1'!$C6</f>
        <v>Лист нижний</v>
      </c>
      <c r="D39" s="4" t="s">
        <v>16</v>
      </c>
      <c r="E39" s="3" t="s">
        <v>19</v>
      </c>
      <c r="F39" s="3" t="s">
        <v>179</v>
      </c>
      <c r="G39" s="15">
        <v>46083</v>
      </c>
      <c r="H39" s="3" t="s">
        <v>180</v>
      </c>
      <c r="I39" s="15">
        <v>46083</v>
      </c>
      <c r="J39" s="3" t="s">
        <v>23</v>
      </c>
      <c r="K39" s="3" t="s">
        <v>23</v>
      </c>
      <c r="L39" s="3" t="s">
        <v>180</v>
      </c>
      <c r="M39" s="15">
        <v>46083</v>
      </c>
      <c r="N39" s="3" t="s">
        <v>180</v>
      </c>
      <c r="O39" s="15">
        <v>46083</v>
      </c>
      <c r="P39" s="3" t="s">
        <v>180</v>
      </c>
      <c r="Q39" s="15">
        <v>46083</v>
      </c>
      <c r="R39" s="3" t="s">
        <v>181</v>
      </c>
    </row>
    <row r="40" spans="1:18" ht="28.5" x14ac:dyDescent="0.25">
      <c r="A40" s="10" t="str">
        <f t="shared" si="2"/>
        <v>GG.WP.322.C.0001.0012 - Лист верхний.ipt</v>
      </c>
      <c r="B40" s="3" t="str">
        <f>'КВ 1'!$B7</f>
        <v>GG.WP.322.C.0001.0012</v>
      </c>
      <c r="C40" s="10" t="str">
        <f>'КВ 1'!$C7</f>
        <v>Лист верхний</v>
      </c>
      <c r="D40" s="4" t="s">
        <v>16</v>
      </c>
      <c r="E40" s="3" t="s">
        <v>19</v>
      </c>
      <c r="F40" s="3" t="s">
        <v>179</v>
      </c>
      <c r="G40" s="15">
        <v>46083</v>
      </c>
      <c r="H40" s="3" t="s">
        <v>180</v>
      </c>
      <c r="I40" s="15">
        <v>46083</v>
      </c>
      <c r="J40" s="3" t="s">
        <v>23</v>
      </c>
      <c r="K40" s="3" t="s">
        <v>23</v>
      </c>
      <c r="L40" s="3" t="s">
        <v>180</v>
      </c>
      <c r="M40" s="15">
        <v>46083</v>
      </c>
      <c r="N40" s="3" t="s">
        <v>180</v>
      </c>
      <c r="O40" s="15">
        <v>46083</v>
      </c>
      <c r="P40" s="3" t="s">
        <v>180</v>
      </c>
      <c r="Q40" s="15">
        <v>46083</v>
      </c>
      <c r="R40" s="3" t="s">
        <v>181</v>
      </c>
    </row>
    <row r="41" spans="1:18" ht="28.5" x14ac:dyDescent="0.25">
      <c r="A41" s="10" t="str">
        <f t="shared" si="2"/>
        <v>GG.WP.322.C.0001.0013 - Лист правый.ipt</v>
      </c>
      <c r="B41" s="3" t="str">
        <f>'КВ 1'!$B8</f>
        <v>GG.WP.322.C.0001.0013</v>
      </c>
      <c r="C41" s="10" t="str">
        <f>'КВ 1'!$C8</f>
        <v>Лист правый</v>
      </c>
      <c r="D41" s="4" t="s">
        <v>16</v>
      </c>
      <c r="E41" s="3" t="s">
        <v>19</v>
      </c>
      <c r="F41" s="3" t="s">
        <v>179</v>
      </c>
      <c r="G41" s="15">
        <v>46083</v>
      </c>
      <c r="H41" s="3" t="s">
        <v>180</v>
      </c>
      <c r="I41" s="15">
        <v>46083</v>
      </c>
      <c r="J41" s="3" t="s">
        <v>23</v>
      </c>
      <c r="K41" s="3" t="s">
        <v>23</v>
      </c>
      <c r="L41" s="3" t="s">
        <v>180</v>
      </c>
      <c r="M41" s="15">
        <v>46083</v>
      </c>
      <c r="N41" s="3" t="s">
        <v>180</v>
      </c>
      <c r="O41" s="15">
        <v>46083</v>
      </c>
      <c r="P41" s="3" t="s">
        <v>180</v>
      </c>
      <c r="Q41" s="15">
        <v>46083</v>
      </c>
      <c r="R41" s="3" t="s">
        <v>181</v>
      </c>
    </row>
    <row r="42" spans="1:18" ht="28.5" x14ac:dyDescent="0.25">
      <c r="A42" s="10" t="str">
        <f t="shared" si="2"/>
        <v>GG.WP.322.C.0001.0014 - Лист левый.ipt</v>
      </c>
      <c r="B42" s="3" t="str">
        <f>'КВ 1'!$B9</f>
        <v>GG.WP.322.C.0001.0014</v>
      </c>
      <c r="C42" s="10" t="str">
        <f>'КВ 1'!$C9</f>
        <v>Лист левый</v>
      </c>
      <c r="D42" s="4" t="s">
        <v>16</v>
      </c>
      <c r="E42" s="3" t="s">
        <v>19</v>
      </c>
      <c r="F42" s="3" t="s">
        <v>179</v>
      </c>
      <c r="G42" s="15">
        <v>46083</v>
      </c>
      <c r="H42" s="3" t="s">
        <v>180</v>
      </c>
      <c r="I42" s="15">
        <v>46083</v>
      </c>
      <c r="J42" s="3" t="s">
        <v>23</v>
      </c>
      <c r="K42" s="3" t="s">
        <v>23</v>
      </c>
      <c r="L42" s="3" t="s">
        <v>180</v>
      </c>
      <c r="M42" s="15">
        <v>46083</v>
      </c>
      <c r="N42" s="3" t="s">
        <v>180</v>
      </c>
      <c r="O42" s="15">
        <v>46083</v>
      </c>
      <c r="P42" s="3" t="s">
        <v>180</v>
      </c>
      <c r="Q42" s="15">
        <v>46083</v>
      </c>
      <c r="R42" s="3" t="s">
        <v>181</v>
      </c>
    </row>
    <row r="43" spans="1:18" ht="28.5" x14ac:dyDescent="0.25">
      <c r="A43" s="10" t="str">
        <f t="shared" si="2"/>
        <v>GG.WP.322.C.0001.0015 - Салазки.ipt</v>
      </c>
      <c r="B43" s="3" t="str">
        <f>'КВ 1'!$B10</f>
        <v>GG.WP.322.C.0001.0015</v>
      </c>
      <c r="C43" s="10" t="str">
        <f>'КВ 1'!$C10</f>
        <v>Салазки</v>
      </c>
      <c r="D43" s="4" t="s">
        <v>16</v>
      </c>
      <c r="E43" s="3" t="s">
        <v>19</v>
      </c>
      <c r="F43" s="3" t="s">
        <v>179</v>
      </c>
      <c r="G43" s="15">
        <v>46083</v>
      </c>
      <c r="H43" s="3" t="s">
        <v>180</v>
      </c>
      <c r="I43" s="15">
        <v>46083</v>
      </c>
      <c r="J43" s="3" t="s">
        <v>23</v>
      </c>
      <c r="K43" s="3" t="s">
        <v>23</v>
      </c>
      <c r="L43" s="3" t="s">
        <v>180</v>
      </c>
      <c r="M43" s="15">
        <v>46083</v>
      </c>
      <c r="N43" s="3" t="s">
        <v>180</v>
      </c>
      <c r="O43" s="15">
        <v>46083</v>
      </c>
      <c r="P43" s="3" t="s">
        <v>180</v>
      </c>
      <c r="Q43" s="15">
        <v>46083</v>
      </c>
      <c r="R43" s="3" t="s">
        <v>181</v>
      </c>
    </row>
    <row r="44" spans="1:18" ht="28.5" x14ac:dyDescent="0.25">
      <c r="A44" s="10" t="str">
        <f t="shared" si="2"/>
        <v>GG.WP.322.C.0001.0016 - Втулка направляющая.ipt</v>
      </c>
      <c r="B44" s="3" t="str">
        <f>'КВ 1'!$B11</f>
        <v>GG.WP.322.C.0001.0016</v>
      </c>
      <c r="C44" s="10" t="str">
        <f>'КВ 1'!$C11</f>
        <v>Втулка направляющая</v>
      </c>
      <c r="D44" s="4" t="s">
        <v>16</v>
      </c>
      <c r="E44" s="3" t="s">
        <v>19</v>
      </c>
      <c r="F44" s="3" t="s">
        <v>179</v>
      </c>
      <c r="G44" s="15">
        <v>46083</v>
      </c>
      <c r="H44" s="3" t="s">
        <v>180</v>
      </c>
      <c r="I44" s="15">
        <v>46083</v>
      </c>
      <c r="J44" s="3" t="s">
        <v>23</v>
      </c>
      <c r="K44" s="3" t="s">
        <v>23</v>
      </c>
      <c r="L44" s="3" t="s">
        <v>180</v>
      </c>
      <c r="M44" s="15">
        <v>46083</v>
      </c>
      <c r="N44" s="3" t="s">
        <v>180</v>
      </c>
      <c r="O44" s="15">
        <v>46083</v>
      </c>
      <c r="P44" s="3" t="s">
        <v>180</v>
      </c>
      <c r="Q44" s="15">
        <v>46083</v>
      </c>
      <c r="R44" s="3" t="s">
        <v>181</v>
      </c>
    </row>
    <row r="45" spans="1:18" x14ac:dyDescent="0.25">
      <c r="A45" s="57"/>
      <c r="B45" s="57"/>
      <c r="C45" s="57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</row>
    <row r="46" spans="1:18" ht="28.5" x14ac:dyDescent="0.25">
      <c r="A46" s="10" t="str">
        <f>(IF((E46 = "Пр-во"), (B46 &amp; " - " &amp; C46), C46)) &amp; IF(D46="Сборка", ".iam", ".ipt")</f>
        <v>Гайка-заклепка М5x13x0.8 A2.ipt</v>
      </c>
      <c r="B46" s="3" t="str">
        <f>'КВ 1'!$B12</f>
        <v>-</v>
      </c>
      <c r="C46" s="3" t="str">
        <f>'КВ 1'!$C12</f>
        <v>Гайка-заклепка М5x13x0.8 A2</v>
      </c>
      <c r="D46" s="4" t="s">
        <v>16</v>
      </c>
      <c r="E46" s="4" t="s">
        <v>20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</row>
    <row r="47" spans="1:18" x14ac:dyDescent="0.25">
      <c r="A47" s="59"/>
      <c r="B47" s="59"/>
      <c r="C47" s="59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</row>
    <row r="48" spans="1:18" ht="28.5" x14ac:dyDescent="0.25">
      <c r="A48" s="10" t="str">
        <f>(IF((E48 = "Пр-во"), (B48 &amp; " - " &amp; C48), C48)) &amp; IF(D48="Сборка", ".iam", ".ipt")</f>
        <v>GG.WP.322.C.0001.0021СБ - Рамка.iam</v>
      </c>
      <c r="B48" s="3" t="str">
        <f>'КВ 1'!$B14</f>
        <v>GG.WP.322.C.0001.0021СБ</v>
      </c>
      <c r="C48" s="60" t="str">
        <f>'КВ 1'!$C14</f>
        <v>Рамка</v>
      </c>
      <c r="D48" s="3" t="s">
        <v>17</v>
      </c>
      <c r="E48" s="3" t="s">
        <v>19</v>
      </c>
      <c r="F48" s="3" t="s">
        <v>179</v>
      </c>
      <c r="G48" s="15">
        <v>46083</v>
      </c>
      <c r="H48" s="3" t="s">
        <v>180</v>
      </c>
      <c r="I48" s="15">
        <v>46083</v>
      </c>
      <c r="J48" s="3" t="s">
        <v>23</v>
      </c>
      <c r="K48" s="3" t="s">
        <v>23</v>
      </c>
      <c r="L48" s="3" t="s">
        <v>180</v>
      </c>
      <c r="M48" s="15">
        <v>46083</v>
      </c>
      <c r="N48" s="3" t="s">
        <v>180</v>
      </c>
      <c r="O48" s="15">
        <v>46083</v>
      </c>
      <c r="P48" s="3" t="s">
        <v>180</v>
      </c>
      <c r="Q48" s="15">
        <v>46083</v>
      </c>
      <c r="R48" s="3" t="s">
        <v>181</v>
      </c>
    </row>
    <row r="49" spans="1:18" ht="42.75" x14ac:dyDescent="0.25">
      <c r="A49" s="10" t="str">
        <f>(IF((E49 = "Пр-во"), (B49 &amp; " - " &amp; C49), C49)) &amp; IF(D49="Сборка", ".iam", ".ipt")</f>
        <v>GG.WP.322.C.0001.0030СБ - Корпус сенсора в сборе.iam</v>
      </c>
      <c r="B49" s="3" t="str">
        <f>'КВ 1'!$B$21</f>
        <v>GG.WP.322.C.0001.0030СБ</v>
      </c>
      <c r="C49" s="61" t="str">
        <f>'КВ 1'!$C$21</f>
        <v>Корпус сенсора в сборе</v>
      </c>
      <c r="D49" s="3" t="s">
        <v>17</v>
      </c>
      <c r="E49" s="3" t="s">
        <v>19</v>
      </c>
      <c r="F49" s="3" t="s">
        <v>179</v>
      </c>
      <c r="G49" s="15">
        <v>46083</v>
      </c>
      <c r="H49" s="3" t="s">
        <v>180</v>
      </c>
      <c r="I49" s="15">
        <v>46083</v>
      </c>
      <c r="J49" s="3" t="s">
        <v>23</v>
      </c>
      <c r="K49" s="3" t="s">
        <v>23</v>
      </c>
      <c r="L49" s="3" t="s">
        <v>180</v>
      </c>
      <c r="M49" s="15">
        <v>46083</v>
      </c>
      <c r="N49" s="3" t="s">
        <v>180</v>
      </c>
      <c r="O49" s="15">
        <v>46083</v>
      </c>
      <c r="P49" s="3" t="s">
        <v>180</v>
      </c>
      <c r="Q49" s="15">
        <v>46083</v>
      </c>
      <c r="R49" s="3" t="s">
        <v>181</v>
      </c>
    </row>
    <row r="50" spans="1:18" ht="42.75" x14ac:dyDescent="0.25">
      <c r="A50" s="10" t="str">
        <f>(IF((E50 = "Пр-во"), (B50 &amp; " - " &amp; C50), C50)) &amp; IF(D50="Сборка", ".iam", ".ipt")</f>
        <v>GG.WP.322.C.0001.0040СБ - Короб динамика в сборе.iam</v>
      </c>
      <c r="B50" s="3" t="str">
        <f>'КВ 1'!$B$22</f>
        <v>GG.WP.322.C.0001.0040СБ</v>
      </c>
      <c r="C50" s="62" t="str">
        <f>'КВ 1'!$C$22</f>
        <v>Короб динамика в сборе</v>
      </c>
      <c r="D50" s="3" t="s">
        <v>17</v>
      </c>
      <c r="E50" s="3" t="s">
        <v>19</v>
      </c>
      <c r="F50" s="3" t="s">
        <v>179</v>
      </c>
      <c r="G50" s="15">
        <v>46083</v>
      </c>
      <c r="H50" s="3" t="s">
        <v>180</v>
      </c>
      <c r="I50" s="15">
        <v>46083</v>
      </c>
      <c r="J50" s="3" t="s">
        <v>23</v>
      </c>
      <c r="K50" s="3" t="s">
        <v>23</v>
      </c>
      <c r="L50" s="3" t="s">
        <v>180</v>
      </c>
      <c r="M50" s="15">
        <v>46083</v>
      </c>
      <c r="N50" s="3" t="s">
        <v>180</v>
      </c>
      <c r="O50" s="15">
        <v>46083</v>
      </c>
      <c r="P50" s="3" t="s">
        <v>180</v>
      </c>
      <c r="Q50" s="15">
        <v>46083</v>
      </c>
      <c r="R50" s="3" t="s">
        <v>181</v>
      </c>
    </row>
    <row r="51" spans="1:18" x14ac:dyDescent="0.25">
      <c r="A51" s="59"/>
      <c r="B51" s="59"/>
      <c r="C51" s="59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</row>
    <row r="52" spans="1:18" ht="28.5" x14ac:dyDescent="0.25">
      <c r="A52" s="10" t="str">
        <f>(IF((E52 = "Пр-во"), (B52 &amp; " - " &amp; C52), C52)) &amp; IF(D52="Сборка", ".iam", ".ipt")</f>
        <v>GG.WP.322.C.0001.0050 - Стопор дверцы.ipt</v>
      </c>
      <c r="B52" s="3" t="str">
        <f>'КВ 1'!B26</f>
        <v>GG.WP.322.C.0001.0050</v>
      </c>
      <c r="C52" s="3" t="str">
        <f>'КВ 1'!C26</f>
        <v>Стопор дверцы</v>
      </c>
      <c r="D52" s="4" t="s">
        <v>16</v>
      </c>
      <c r="E52" s="3" t="s">
        <v>19</v>
      </c>
      <c r="F52" s="3" t="s">
        <v>179</v>
      </c>
      <c r="G52" s="15">
        <v>46083</v>
      </c>
      <c r="H52" s="3" t="s">
        <v>180</v>
      </c>
      <c r="I52" s="15">
        <v>46083</v>
      </c>
      <c r="J52" s="3" t="s">
        <v>23</v>
      </c>
      <c r="K52" s="3" t="s">
        <v>23</v>
      </c>
      <c r="L52" s="3" t="s">
        <v>180</v>
      </c>
      <c r="M52" s="15">
        <v>46083</v>
      </c>
      <c r="N52" s="3" t="s">
        <v>180</v>
      </c>
      <c r="O52" s="15">
        <v>46083</v>
      </c>
      <c r="P52" s="3" t="s">
        <v>180</v>
      </c>
      <c r="Q52" s="15">
        <v>46083</v>
      </c>
      <c r="R52" s="3" t="s">
        <v>181</v>
      </c>
    </row>
    <row r="53" spans="1:18" x14ac:dyDescent="0.25">
      <c r="A53" s="59"/>
      <c r="B53" s="59"/>
      <c r="C53" s="59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</row>
    <row r="54" spans="1:18" x14ac:dyDescent="0.25">
      <c r="A54" s="10" t="str">
        <f>(IF((E54 = "Пр-во"), (B54 &amp; " - " &amp; C54), C54)) &amp; IF(D54="Сборка", ".iam", ".ipt")</f>
        <v>Шайба DIN 125 M5 A2.ipt</v>
      </c>
      <c r="B54" s="3" t="str">
        <f>'КВ 1'!B27</f>
        <v>-</v>
      </c>
      <c r="C54" s="3" t="str">
        <f>'КВ 1'!C27</f>
        <v>Шайба DIN 125 M5 A2</v>
      </c>
      <c r="D54" s="4" t="s">
        <v>16</v>
      </c>
      <c r="E54" s="4" t="s">
        <v>20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</row>
    <row r="55" spans="1:18" ht="28.5" x14ac:dyDescent="0.25">
      <c r="A55" s="10" t="str">
        <f>(IF((E55 = "Пр-во"), (B55 &amp; " - " &amp; C55), C55)) &amp; IF(D55="Сборка", ".iam", ".ipt")</f>
        <v>Шайба-гровер DIN 127 M5 A2.ipt</v>
      </c>
      <c r="B55" s="3" t="str">
        <f>'КВ 1'!B28</f>
        <v>-</v>
      </c>
      <c r="C55" s="3" t="str">
        <f>'КВ 1'!C28</f>
        <v>Шайба-гровер DIN 127 M5 A2</v>
      </c>
      <c r="D55" s="4" t="s">
        <v>16</v>
      </c>
      <c r="E55" s="4" t="s">
        <v>20</v>
      </c>
      <c r="F55" s="4" t="s">
        <v>23</v>
      </c>
      <c r="G55" s="4" t="s">
        <v>23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</row>
    <row r="56" spans="1:18" ht="28.5" x14ac:dyDescent="0.25">
      <c r="A56" s="10" t="str">
        <f>(IF((E56 = "Пр-во"), (B56 &amp; " - " &amp; C56), C56)) &amp; IF(D56="Сборка", ".iam", ".ipt")</f>
        <v>Гайка DIN 934 M5x0.8 A2.ipt</v>
      </c>
      <c r="B56" s="3" t="str">
        <f>'КВ 1'!B29</f>
        <v>-</v>
      </c>
      <c r="C56" s="3" t="str">
        <f>'КВ 1'!C29</f>
        <v>Гайка DIN 934 M5x0.8 A2</v>
      </c>
      <c r="D56" s="4" t="s">
        <v>16</v>
      </c>
      <c r="E56" s="4" t="s">
        <v>20</v>
      </c>
      <c r="F56" s="4" t="s">
        <v>23</v>
      </c>
      <c r="G56" s="4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</row>
    <row r="57" spans="1:18" ht="28.5" x14ac:dyDescent="0.25">
      <c r="A57" s="10" t="str">
        <f>(IF((E57 = "Пр-во"), (B57 &amp; " - " &amp; C57), C57)) &amp; IF(D57="Сборка", ".iam", ".ipt")</f>
        <v>Винт DIN 7500 M3x10x0.5 A2.ipt</v>
      </c>
      <c r="B57" s="3" t="str">
        <f>'КВ 1'!B30</f>
        <v>-</v>
      </c>
      <c r="C57" s="3" t="str">
        <f>'КВ 1'!C30</f>
        <v>Винт DIN 7500 M3x10x0.5 A2</v>
      </c>
      <c r="D57" s="4" t="s">
        <v>16</v>
      </c>
      <c r="E57" s="4" t="s">
        <v>20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</row>
    <row r="58" spans="1:18" x14ac:dyDescent="0.25">
      <c r="A58" s="12"/>
      <c r="B58" s="12"/>
      <c r="C58" s="1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28.5" x14ac:dyDescent="0.25">
      <c r="A59" s="10" t="str">
        <f>(IF((E59 = "Пр-во"), (B59 &amp; " - " &amp; C59), C59)) &amp; IF(D59="Сборка", ".iam", ".ipt")</f>
        <v>GG.WP.322.C.0001.0022 - Короб.ipt</v>
      </c>
      <c r="B59" s="3" t="str">
        <f>'КВ 1'!B15</f>
        <v>GG.WP.322.C.0001.0022</v>
      </c>
      <c r="C59" s="3" t="str">
        <f>'КВ 1'!C15</f>
        <v>Короб</v>
      </c>
      <c r="D59" s="4" t="s">
        <v>16</v>
      </c>
      <c r="E59" s="3" t="s">
        <v>19</v>
      </c>
      <c r="F59" s="3" t="s">
        <v>179</v>
      </c>
      <c r="G59" s="15">
        <v>46083</v>
      </c>
      <c r="H59" s="3" t="s">
        <v>180</v>
      </c>
      <c r="I59" s="15">
        <v>46083</v>
      </c>
      <c r="J59" s="3" t="s">
        <v>23</v>
      </c>
      <c r="K59" s="3" t="s">
        <v>23</v>
      </c>
      <c r="L59" s="3" t="s">
        <v>180</v>
      </c>
      <c r="M59" s="15">
        <v>46083</v>
      </c>
      <c r="N59" s="3" t="s">
        <v>180</v>
      </c>
      <c r="O59" s="15">
        <v>46083</v>
      </c>
      <c r="P59" s="3" t="s">
        <v>180</v>
      </c>
      <c r="Q59" s="15">
        <v>46083</v>
      </c>
      <c r="R59" s="3" t="s">
        <v>181</v>
      </c>
    </row>
    <row r="60" spans="1:18" ht="28.5" x14ac:dyDescent="0.25">
      <c r="A60" s="10" t="str">
        <f>(IF((E60 = "Пр-во"), (B60 &amp; " - " &amp; C60), C60)) &amp; IF(D60="Сборка", ".iam", ".ipt")</f>
        <v>GG.WP.322.C.0001.0023 - Пластина фронтальная.ipt</v>
      </c>
      <c r="B60" s="3" t="str">
        <f>'КВ 1'!B16</f>
        <v>GG.WP.322.C.0001.0023</v>
      </c>
      <c r="C60" s="3" t="str">
        <f>'КВ 1'!C16</f>
        <v>Пластина фронтальная</v>
      </c>
      <c r="D60" s="4" t="s">
        <v>16</v>
      </c>
      <c r="E60" s="3" t="s">
        <v>19</v>
      </c>
      <c r="F60" s="3" t="s">
        <v>179</v>
      </c>
      <c r="G60" s="15">
        <v>46083</v>
      </c>
      <c r="H60" s="3" t="s">
        <v>180</v>
      </c>
      <c r="I60" s="15">
        <v>46083</v>
      </c>
      <c r="J60" s="3" t="s">
        <v>23</v>
      </c>
      <c r="K60" s="3" t="s">
        <v>23</v>
      </c>
      <c r="L60" s="3" t="s">
        <v>180</v>
      </c>
      <c r="M60" s="15">
        <v>46083</v>
      </c>
      <c r="N60" s="3" t="s">
        <v>180</v>
      </c>
      <c r="O60" s="15">
        <v>46083</v>
      </c>
      <c r="P60" s="3" t="s">
        <v>180</v>
      </c>
      <c r="Q60" s="15">
        <v>46083</v>
      </c>
      <c r="R60" s="3" t="s">
        <v>181</v>
      </c>
    </row>
    <row r="61" spans="1:18" x14ac:dyDescent="0.25">
      <c r="A61" s="12"/>
      <c r="B61" s="12"/>
      <c r="C61" s="1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28.5" x14ac:dyDescent="0.25">
      <c r="A62" s="10" t="str">
        <f>(IF((E62 = "Пр-во"), (B62 &amp; " - " &amp; C62), C62)) &amp; IF(D62="Сборка", ".iam", ".ipt")</f>
        <v>Шпилька приварная M5x15x0.8 A2.ipt</v>
      </c>
      <c r="B62" s="3" t="str">
        <f>'КВ 1'!B14</f>
        <v>GG.WP.322.C.0001.0021СБ</v>
      </c>
      <c r="C62" s="10" t="str">
        <f>'КВ 1'!C17</f>
        <v>Шпилька приварная M5x15x0.8 A2</v>
      </c>
      <c r="D62" s="4" t="s">
        <v>16</v>
      </c>
      <c r="E62" s="4" t="s">
        <v>20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</row>
    <row r="63" spans="1:18" x14ac:dyDescent="0.25">
      <c r="A63" s="10" t="str">
        <f>(IF((E63 = "Пр-во"), (B63 &amp; " - " &amp; C63), C63)) &amp; IF(D63="Сборка", ".iam", ".ipt")</f>
        <v>Шайба DIN 125 M5 A2.ipt</v>
      </c>
      <c r="B63" s="3" t="str">
        <f>'КВ 1'!B15</f>
        <v>GG.WP.322.C.0001.0022</v>
      </c>
      <c r="C63" s="10" t="str">
        <f>'КВ 1'!C18</f>
        <v>Шайба DIN 125 M5 A2</v>
      </c>
      <c r="D63" s="4" t="s">
        <v>16</v>
      </c>
      <c r="E63" s="4" t="s">
        <v>20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</row>
    <row r="64" spans="1:18" ht="28.5" x14ac:dyDescent="0.25">
      <c r="A64" s="10" t="str">
        <f>(IF((E64 = "Пр-во"), (B64 &amp; " - " &amp; C64), C64)) &amp; IF(D64="Сборка", ".iam", ".ipt")</f>
        <v>Шайба-гровер DIN 127 M5 A2.ipt</v>
      </c>
      <c r="B64" s="3" t="str">
        <f>'КВ 1'!B16</f>
        <v>GG.WP.322.C.0001.0023</v>
      </c>
      <c r="C64" s="10" t="str">
        <f>'КВ 1'!C19</f>
        <v>Шайба-гровер DIN 127 M5 A2</v>
      </c>
      <c r="D64" s="4" t="s">
        <v>16</v>
      </c>
      <c r="E64" s="4" t="s">
        <v>20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</row>
    <row r="65" spans="1:18" ht="28.5" x14ac:dyDescent="0.25">
      <c r="A65" s="10" t="str">
        <f>(IF((E65 = "Пр-во"), (B65 &amp; " - " &amp; C65), C65)) &amp; IF(D65="Сборка", ".iam", ".ipt")</f>
        <v>Гайка DIN 934 M5x0.8 A2.ipt</v>
      </c>
      <c r="B65" s="3" t="str">
        <f>'КВ 1'!B17</f>
        <v>-</v>
      </c>
      <c r="C65" s="10" t="str">
        <f>'КВ 1'!C20</f>
        <v>Гайка DIN 934 M5x0.8 A2</v>
      </c>
      <c r="D65" s="4" t="s">
        <v>16</v>
      </c>
      <c r="E65" s="4" t="s">
        <v>20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</row>
    <row r="66" spans="1:18" x14ac:dyDescent="0.25">
      <c r="A66" s="64"/>
      <c r="B66" s="64"/>
      <c r="C66" s="64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</row>
    <row r="67" spans="1:18" x14ac:dyDescent="0.25">
      <c r="A67" s="10" t="str">
        <f>(IF((E67 = "Пр-во"), (B67 &amp; " - " &amp; C67), C67)) &amp; IF(D67="Сборка", ".iam", ".ipt")</f>
        <v>Динамик.iam</v>
      </c>
      <c r="B67" s="10" t="str">
        <f>'КВ 1'!$B$23</f>
        <v>-</v>
      </c>
      <c r="C67" s="10" t="str">
        <f>'КВ 1'!$C$23</f>
        <v>Динамик</v>
      </c>
      <c r="D67" s="4" t="s">
        <v>17</v>
      </c>
      <c r="E67" s="4" t="s">
        <v>20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</row>
    <row r="68" spans="1:18" x14ac:dyDescent="0.25">
      <c r="A68" s="64"/>
      <c r="B68" s="64"/>
      <c r="C68" s="64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</row>
    <row r="69" spans="1:18" ht="28.5" x14ac:dyDescent="0.25">
      <c r="A69" s="10" t="str">
        <f>(IF((E69 = "Пр-во"), (B69 &amp; " - " &amp; C69), C69)) &amp; IF(D69="Сборка", ".iam", ".ipt")</f>
        <v>GG.WP.322.C.0001.0041 - Короб динамика.ipt</v>
      </c>
      <c r="B69" s="3" t="str">
        <f>'КВ 1'!$B$24</f>
        <v>GG.WP.322.C.0001.0041</v>
      </c>
      <c r="C69" s="10" t="str">
        <f>'КВ 1'!$C$24</f>
        <v>Короб динамика</v>
      </c>
      <c r="D69" s="4" t="s">
        <v>55</v>
      </c>
      <c r="E69" s="3" t="s">
        <v>19</v>
      </c>
      <c r="F69" s="3" t="s">
        <v>179</v>
      </c>
      <c r="G69" s="15">
        <v>46083</v>
      </c>
      <c r="H69" s="3" t="s">
        <v>180</v>
      </c>
      <c r="I69" s="15">
        <v>46083</v>
      </c>
      <c r="J69" s="3" t="s">
        <v>23</v>
      </c>
      <c r="K69" s="3" t="s">
        <v>23</v>
      </c>
      <c r="L69" s="3" t="s">
        <v>180</v>
      </c>
      <c r="M69" s="15">
        <v>46083</v>
      </c>
      <c r="N69" s="3" t="s">
        <v>180</v>
      </c>
      <c r="O69" s="15">
        <v>46083</v>
      </c>
      <c r="P69" s="3" t="s">
        <v>180</v>
      </c>
      <c r="Q69" s="15">
        <v>46083</v>
      </c>
      <c r="R69" s="3" t="s">
        <v>181</v>
      </c>
    </row>
    <row r="70" spans="1:18" x14ac:dyDescent="0.25">
      <c r="A70" s="64"/>
      <c r="B70" s="64"/>
      <c r="C70" s="64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</row>
    <row r="71" spans="1:18" ht="28.5" x14ac:dyDescent="0.25">
      <c r="A71" s="10" t="str">
        <f>(IF((E71 = "Пр-во"), (B71 &amp; " - " &amp; C71), C71)) &amp; IF(D71="Сборка", ".iam", ".ipt")</f>
        <v>Винт DIN 7500 M3x10x0.5 A2.ipt</v>
      </c>
      <c r="B71" s="3" t="str">
        <f>'КВ 1'!$B$25</f>
        <v>-</v>
      </c>
      <c r="C71" s="10" t="str">
        <f>'КВ 1'!$C$25</f>
        <v>Винт DIN 7500 M3x10x0.5 A2</v>
      </c>
      <c r="D71" s="4" t="s">
        <v>16</v>
      </c>
      <c r="E71" s="4" t="s">
        <v>20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</row>
    <row r="72" spans="1:18" x14ac:dyDescent="0.25">
      <c r="A72" s="68"/>
      <c r="B72" s="68"/>
      <c r="C72" s="68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</row>
    <row r="73" spans="1:18" ht="42.75" x14ac:dyDescent="0.25">
      <c r="A73" s="10" t="str">
        <f>(IF((E73 = "Пр-во"), (B73 &amp; " - " &amp; C73), C73)) &amp; IF(D73="Сборка", ".iam", ".ipt")</f>
        <v>GG.WP.322.C.0001.0061СБ - Держатель крышки в сборе.iam</v>
      </c>
      <c r="B73" s="3" t="str">
        <f>'КВ 1'!B32</f>
        <v>GG.WP.322.C.0001.0061СБ</v>
      </c>
      <c r="C73" s="69" t="str">
        <f>'КВ 1'!C32</f>
        <v>Держатель крышки в сборе</v>
      </c>
      <c r="D73" s="3" t="s">
        <v>17</v>
      </c>
      <c r="E73" s="3" t="s">
        <v>19</v>
      </c>
      <c r="F73" s="3" t="s">
        <v>179</v>
      </c>
      <c r="G73" s="15">
        <v>46083</v>
      </c>
      <c r="H73" s="3" t="s">
        <v>180</v>
      </c>
      <c r="I73" s="15">
        <v>46083</v>
      </c>
      <c r="J73" s="3" t="s">
        <v>23</v>
      </c>
      <c r="K73" s="3" t="s">
        <v>23</v>
      </c>
      <c r="L73" s="3" t="s">
        <v>180</v>
      </c>
      <c r="M73" s="15">
        <v>46083</v>
      </c>
      <c r="N73" s="3" t="s">
        <v>180</v>
      </c>
      <c r="O73" s="15">
        <v>46083</v>
      </c>
      <c r="P73" s="3" t="s">
        <v>180</v>
      </c>
      <c r="Q73" s="15">
        <v>46083</v>
      </c>
      <c r="R73" s="3" t="s">
        <v>181</v>
      </c>
    </row>
    <row r="74" spans="1:18" x14ac:dyDescent="0.25">
      <c r="A74" s="10" t="str">
        <f>(IF((E74 = "Пр-во"), (B74 &amp; " - " &amp; C74), C74)) &amp; IF(D74="Сборка", ".iam", ".ipt")</f>
        <v>Петля.iam</v>
      </c>
      <c r="B74" s="3" t="str">
        <f>'КВ 1'!B35</f>
        <v>-</v>
      </c>
      <c r="C74" s="3" t="str">
        <f>'КВ 1'!C35</f>
        <v>Петля</v>
      </c>
      <c r="D74" s="3" t="s">
        <v>17</v>
      </c>
      <c r="E74" s="3" t="s">
        <v>20</v>
      </c>
      <c r="F74" s="3" t="s">
        <v>179</v>
      </c>
      <c r="G74" s="15">
        <v>46083</v>
      </c>
      <c r="H74" s="3" t="s">
        <v>180</v>
      </c>
      <c r="I74" s="15">
        <v>46083</v>
      </c>
      <c r="J74" s="3" t="s">
        <v>23</v>
      </c>
      <c r="K74" s="3" t="s">
        <v>23</v>
      </c>
      <c r="L74" s="3" t="s">
        <v>180</v>
      </c>
      <c r="M74" s="15">
        <v>46083</v>
      </c>
      <c r="N74" s="3" t="s">
        <v>180</v>
      </c>
      <c r="O74" s="15">
        <v>46083</v>
      </c>
      <c r="P74" s="3" t="s">
        <v>180</v>
      </c>
      <c r="Q74" s="15">
        <v>46083</v>
      </c>
      <c r="R74" s="3" t="s">
        <v>181</v>
      </c>
    </row>
    <row r="75" spans="1:18" x14ac:dyDescent="0.25">
      <c r="A75" s="68"/>
      <c r="B75" s="68"/>
      <c r="C75" s="68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</row>
    <row r="76" spans="1:18" ht="28.5" x14ac:dyDescent="0.25">
      <c r="A76" s="10" t="str">
        <f>(IF((E76 = "Пр-во"), (B76 &amp; " - " &amp; C76), C76)) &amp; IF(D76="Сборка", ".iam", ".ipt")</f>
        <v>GG.WP.322.C.0001.0063 - Пластина фронтальная.ipt</v>
      </c>
      <c r="B76" s="10" t="str">
        <f>'КВ 1'!B36</f>
        <v>GG.WP.322.C.0001.0063</v>
      </c>
      <c r="C76" s="10" t="str">
        <f>'КВ 1'!C36</f>
        <v>Пластина фронтальная</v>
      </c>
      <c r="D76" s="4" t="s">
        <v>16</v>
      </c>
      <c r="E76" s="3" t="s">
        <v>19</v>
      </c>
      <c r="F76" s="3" t="s">
        <v>179</v>
      </c>
      <c r="G76" s="15">
        <v>46083</v>
      </c>
      <c r="H76" s="3" t="s">
        <v>180</v>
      </c>
      <c r="I76" s="15">
        <v>46083</v>
      </c>
      <c r="J76" s="3" t="s">
        <v>23</v>
      </c>
      <c r="K76" s="3" t="s">
        <v>23</v>
      </c>
      <c r="L76" s="3" t="s">
        <v>180</v>
      </c>
      <c r="M76" s="15">
        <v>46083</v>
      </c>
      <c r="N76" s="3" t="s">
        <v>180</v>
      </c>
      <c r="O76" s="15">
        <v>46083</v>
      </c>
      <c r="P76" s="3" t="s">
        <v>180</v>
      </c>
      <c r="Q76" s="15">
        <v>46083</v>
      </c>
      <c r="R76" s="3" t="s">
        <v>181</v>
      </c>
    </row>
    <row r="77" spans="1:18" ht="28.5" x14ac:dyDescent="0.25">
      <c r="A77" s="10" t="str">
        <f t="shared" ref="A77:A113" si="3">(IF((E77 = "Пр-во"), (B77 &amp; " - " &amp; C77), C77)) &amp; IF(D77="Сборка", ".iam", ".ipt")</f>
        <v>GG.WP.322.C.0001.0064 - Верхний лист дверцы.ipt</v>
      </c>
      <c r="B77" s="10" t="str">
        <f>'КВ 1'!B37</f>
        <v>GG.WP.322.C.0001.0064</v>
      </c>
      <c r="C77" s="10" t="str">
        <f>'КВ 1'!C37</f>
        <v>Верхний лист дверцы</v>
      </c>
      <c r="D77" s="4" t="s">
        <v>16</v>
      </c>
      <c r="E77" s="3" t="s">
        <v>19</v>
      </c>
      <c r="F77" s="3" t="s">
        <v>179</v>
      </c>
      <c r="G77" s="15">
        <v>46083</v>
      </c>
      <c r="H77" s="3" t="s">
        <v>180</v>
      </c>
      <c r="I77" s="15">
        <v>46083</v>
      </c>
      <c r="J77" s="3" t="s">
        <v>23</v>
      </c>
      <c r="K77" s="3" t="s">
        <v>23</v>
      </c>
      <c r="L77" s="3" t="s">
        <v>180</v>
      </c>
      <c r="M77" s="15">
        <v>46083</v>
      </c>
      <c r="N77" s="3" t="s">
        <v>180</v>
      </c>
      <c r="O77" s="15">
        <v>46083</v>
      </c>
      <c r="P77" s="3" t="s">
        <v>180</v>
      </c>
      <c r="Q77" s="15">
        <v>46083</v>
      </c>
      <c r="R77" s="3" t="s">
        <v>181</v>
      </c>
    </row>
    <row r="78" spans="1:18" ht="28.5" x14ac:dyDescent="0.25">
      <c r="A78" s="10" t="str">
        <f t="shared" si="3"/>
        <v>GG.WP.322.C.0001.0065 - Нижний лист дверцы.ipt</v>
      </c>
      <c r="B78" s="10" t="str">
        <f>'КВ 1'!B38</f>
        <v>GG.WP.322.C.0001.0065</v>
      </c>
      <c r="C78" s="10" t="str">
        <f>'КВ 1'!C38</f>
        <v>Нижний лист дверцы</v>
      </c>
      <c r="D78" s="4" t="s">
        <v>16</v>
      </c>
      <c r="E78" s="3" t="s">
        <v>19</v>
      </c>
      <c r="F78" s="3" t="s">
        <v>179</v>
      </c>
      <c r="G78" s="15">
        <v>46083</v>
      </c>
      <c r="H78" s="3" t="s">
        <v>180</v>
      </c>
      <c r="I78" s="15">
        <v>46083</v>
      </c>
      <c r="J78" s="3" t="s">
        <v>23</v>
      </c>
      <c r="K78" s="3" t="s">
        <v>23</v>
      </c>
      <c r="L78" s="3" t="s">
        <v>180</v>
      </c>
      <c r="M78" s="15">
        <v>46083</v>
      </c>
      <c r="N78" s="3" t="s">
        <v>180</v>
      </c>
      <c r="O78" s="15">
        <v>46083</v>
      </c>
      <c r="P78" s="3" t="s">
        <v>180</v>
      </c>
      <c r="Q78" s="15">
        <v>46083</v>
      </c>
      <c r="R78" s="3" t="s">
        <v>181</v>
      </c>
    </row>
    <row r="79" spans="1:18" ht="28.5" x14ac:dyDescent="0.25">
      <c r="A79" s="10" t="str">
        <f t="shared" si="3"/>
        <v>GG.WP.322.C.0001.0066 - Правый лист дверцы.ipt</v>
      </c>
      <c r="B79" s="10" t="str">
        <f>'КВ 1'!B39</f>
        <v>GG.WP.322.C.0001.0066</v>
      </c>
      <c r="C79" s="10" t="str">
        <f>'КВ 1'!C39</f>
        <v>Правый лист дверцы</v>
      </c>
      <c r="D79" s="4" t="s">
        <v>16</v>
      </c>
      <c r="E79" s="3" t="s">
        <v>19</v>
      </c>
      <c r="F79" s="3" t="s">
        <v>179</v>
      </c>
      <c r="G79" s="15">
        <v>46083</v>
      </c>
      <c r="H79" s="3" t="s">
        <v>180</v>
      </c>
      <c r="I79" s="15">
        <v>46083</v>
      </c>
      <c r="J79" s="3" t="s">
        <v>23</v>
      </c>
      <c r="K79" s="3" t="s">
        <v>23</v>
      </c>
      <c r="L79" s="3" t="s">
        <v>180</v>
      </c>
      <c r="M79" s="15">
        <v>46083</v>
      </c>
      <c r="N79" s="3" t="s">
        <v>180</v>
      </c>
      <c r="O79" s="15">
        <v>46083</v>
      </c>
      <c r="P79" s="3" t="s">
        <v>180</v>
      </c>
      <c r="Q79" s="15">
        <v>46083</v>
      </c>
      <c r="R79" s="3" t="s">
        <v>181</v>
      </c>
    </row>
    <row r="80" spans="1:18" ht="28.5" x14ac:dyDescent="0.25">
      <c r="A80" s="10" t="str">
        <f t="shared" si="3"/>
        <v>GG.WP.322.C.0001.0067 - Левый лист дверцы.ipt</v>
      </c>
      <c r="B80" s="10" t="str">
        <f>'КВ 1'!B40</f>
        <v>GG.WP.322.C.0001.0067</v>
      </c>
      <c r="C80" s="10" t="str">
        <f>'КВ 1'!C40</f>
        <v>Левый лист дверцы</v>
      </c>
      <c r="D80" s="4" t="s">
        <v>16</v>
      </c>
      <c r="E80" s="3" t="s">
        <v>19</v>
      </c>
      <c r="F80" s="3" t="s">
        <v>179</v>
      </c>
      <c r="G80" s="15">
        <v>46083</v>
      </c>
      <c r="H80" s="3" t="s">
        <v>180</v>
      </c>
      <c r="I80" s="15">
        <v>46083</v>
      </c>
      <c r="J80" s="3" t="s">
        <v>23</v>
      </c>
      <c r="K80" s="3" t="s">
        <v>23</v>
      </c>
      <c r="L80" s="3" t="s">
        <v>180</v>
      </c>
      <c r="M80" s="15">
        <v>46083</v>
      </c>
      <c r="N80" s="3" t="s">
        <v>180</v>
      </c>
      <c r="O80" s="15">
        <v>46083</v>
      </c>
      <c r="P80" s="3" t="s">
        <v>180</v>
      </c>
      <c r="Q80" s="15">
        <v>46083</v>
      </c>
      <c r="R80" s="3" t="s">
        <v>181</v>
      </c>
    </row>
    <row r="81" spans="1:18" ht="28.5" x14ac:dyDescent="0.25">
      <c r="A81" s="10" t="str">
        <f t="shared" si="3"/>
        <v>GG.WP.322.C.0001.0068 - Шайба запорной планки.ipt</v>
      </c>
      <c r="B81" s="10" t="str">
        <f>'КВ 1'!B41</f>
        <v>GG.WP.322.C.0001.0068</v>
      </c>
      <c r="C81" s="10" t="str">
        <f>'КВ 1'!C41</f>
        <v>Шайба запорной планки</v>
      </c>
      <c r="D81" s="4" t="s">
        <v>16</v>
      </c>
      <c r="E81" s="3" t="s">
        <v>19</v>
      </c>
      <c r="F81" s="3" t="s">
        <v>179</v>
      </c>
      <c r="G81" s="15">
        <v>46083</v>
      </c>
      <c r="H81" s="3" t="s">
        <v>180</v>
      </c>
      <c r="I81" s="15">
        <v>46083</v>
      </c>
      <c r="J81" s="3" t="s">
        <v>23</v>
      </c>
      <c r="K81" s="3" t="s">
        <v>23</v>
      </c>
      <c r="L81" s="3" t="s">
        <v>180</v>
      </c>
      <c r="M81" s="15">
        <v>46083</v>
      </c>
      <c r="N81" s="3" t="s">
        <v>180</v>
      </c>
      <c r="O81" s="15">
        <v>46083</v>
      </c>
      <c r="P81" s="3" t="s">
        <v>180</v>
      </c>
      <c r="Q81" s="15">
        <v>46083</v>
      </c>
      <c r="R81" s="3" t="s">
        <v>181</v>
      </c>
    </row>
    <row r="82" spans="1:18" ht="28.5" x14ac:dyDescent="0.25">
      <c r="A82" s="10" t="str">
        <f t="shared" si="3"/>
        <v>GG.WP.322.C.0001.0069 - Планка запорная.ipt</v>
      </c>
      <c r="B82" s="10" t="str">
        <f>'КВ 1'!B42</f>
        <v>GG.WP.322.C.0001.0069</v>
      </c>
      <c r="C82" s="10" t="str">
        <f>'КВ 1'!C42</f>
        <v>Планка запорная</v>
      </c>
      <c r="D82" s="4" t="s">
        <v>16</v>
      </c>
      <c r="E82" s="3" t="s">
        <v>19</v>
      </c>
      <c r="F82" s="3" t="s">
        <v>179</v>
      </c>
      <c r="G82" s="15">
        <v>46083</v>
      </c>
      <c r="H82" s="3" t="s">
        <v>180</v>
      </c>
      <c r="I82" s="15">
        <v>46083</v>
      </c>
      <c r="J82" s="3" t="s">
        <v>23</v>
      </c>
      <c r="K82" s="3" t="s">
        <v>23</v>
      </c>
      <c r="L82" s="3" t="s">
        <v>180</v>
      </c>
      <c r="M82" s="15">
        <v>46083</v>
      </c>
      <c r="N82" s="3" t="s">
        <v>180</v>
      </c>
      <c r="O82" s="15">
        <v>46083</v>
      </c>
      <c r="P82" s="3" t="s">
        <v>180</v>
      </c>
      <c r="Q82" s="15">
        <v>46083</v>
      </c>
      <c r="R82" s="3" t="s">
        <v>181</v>
      </c>
    </row>
    <row r="83" spans="1:18" ht="28.5" x14ac:dyDescent="0.25">
      <c r="A83" s="10" t="str">
        <f t="shared" si="3"/>
        <v>GG.WP.322.C.0001.0070 - Кронштейн петли.ipt</v>
      </c>
      <c r="B83" s="10" t="str">
        <f>'КВ 1'!B43</f>
        <v>GG.WP.322.C.0001.0070</v>
      </c>
      <c r="C83" s="10" t="str">
        <f>'КВ 1'!C43</f>
        <v>Кронштейн петли</v>
      </c>
      <c r="D83" s="4" t="s">
        <v>16</v>
      </c>
      <c r="E83" s="3" t="s">
        <v>19</v>
      </c>
      <c r="F83" s="3" t="s">
        <v>179</v>
      </c>
      <c r="G83" s="15">
        <v>46083</v>
      </c>
      <c r="H83" s="3" t="s">
        <v>180</v>
      </c>
      <c r="I83" s="15">
        <v>46083</v>
      </c>
      <c r="J83" s="3" t="s">
        <v>23</v>
      </c>
      <c r="K83" s="3" t="s">
        <v>23</v>
      </c>
      <c r="L83" s="3" t="s">
        <v>180</v>
      </c>
      <c r="M83" s="15">
        <v>46083</v>
      </c>
      <c r="N83" s="3" t="s">
        <v>180</v>
      </c>
      <c r="O83" s="15">
        <v>46083</v>
      </c>
      <c r="P83" s="3" t="s">
        <v>180</v>
      </c>
      <c r="Q83" s="15">
        <v>46083</v>
      </c>
      <c r="R83" s="3" t="s">
        <v>181</v>
      </c>
    </row>
    <row r="84" spans="1:18" ht="28.5" x14ac:dyDescent="0.25">
      <c r="A84" s="10" t="str">
        <f t="shared" si="3"/>
        <v>GG.WP.322.C.0001.0071 - Крышка.ipt</v>
      </c>
      <c r="B84" s="10" t="str">
        <f>'КВ 1'!B44</f>
        <v>GG.WP.322.C.0001.0071</v>
      </c>
      <c r="C84" s="10" t="str">
        <f>'КВ 1'!C44</f>
        <v>Крышка</v>
      </c>
      <c r="D84" s="4" t="s">
        <v>16</v>
      </c>
      <c r="E84" s="3" t="s">
        <v>19</v>
      </c>
      <c r="F84" s="3" t="s">
        <v>179</v>
      </c>
      <c r="G84" s="15">
        <v>46083</v>
      </c>
      <c r="H84" s="3" t="s">
        <v>180</v>
      </c>
      <c r="I84" s="15">
        <v>46083</v>
      </c>
      <c r="J84" s="3" t="s">
        <v>23</v>
      </c>
      <c r="K84" s="3" t="s">
        <v>23</v>
      </c>
      <c r="L84" s="3" t="s">
        <v>180</v>
      </c>
      <c r="M84" s="15">
        <v>46083</v>
      </c>
      <c r="N84" s="3" t="s">
        <v>180</v>
      </c>
      <c r="O84" s="15">
        <v>46083</v>
      </c>
      <c r="P84" s="3" t="s">
        <v>180</v>
      </c>
      <c r="Q84" s="15">
        <v>46083</v>
      </c>
      <c r="R84" s="3" t="s">
        <v>181</v>
      </c>
    </row>
    <row r="85" spans="1:18" ht="42.75" x14ac:dyDescent="0.25">
      <c r="A85" s="10" t="str">
        <f t="shared" si="3"/>
        <v>GG.WP.322.C.0001.0072 - Лента противопожарная вертикальная .ipt</v>
      </c>
      <c r="B85" s="10" t="str">
        <f>'КВ 1'!B45</f>
        <v>GG.WP.322.C.0001.0072</v>
      </c>
      <c r="C85" s="10" t="str">
        <f>'КВ 1'!C45</f>
        <v xml:space="preserve">Лента противопожарная вертикальная </v>
      </c>
      <c r="D85" s="4" t="s">
        <v>16</v>
      </c>
      <c r="E85" s="3" t="s">
        <v>19</v>
      </c>
      <c r="F85" s="3" t="s">
        <v>179</v>
      </c>
      <c r="G85" s="15">
        <v>46083</v>
      </c>
      <c r="H85" s="3" t="s">
        <v>180</v>
      </c>
      <c r="I85" s="15">
        <v>46083</v>
      </c>
      <c r="J85" s="3" t="s">
        <v>23</v>
      </c>
      <c r="K85" s="3" t="s">
        <v>23</v>
      </c>
      <c r="L85" s="3" t="s">
        <v>180</v>
      </c>
      <c r="M85" s="15">
        <v>46083</v>
      </c>
      <c r="N85" s="3" t="s">
        <v>180</v>
      </c>
      <c r="O85" s="15">
        <v>46083</v>
      </c>
      <c r="P85" s="3" t="s">
        <v>180</v>
      </c>
      <c r="Q85" s="15">
        <v>46083</v>
      </c>
      <c r="R85" s="3" t="s">
        <v>181</v>
      </c>
    </row>
    <row r="86" spans="1:18" ht="42.75" x14ac:dyDescent="0.25">
      <c r="A86" s="10" t="str">
        <f t="shared" si="3"/>
        <v>GG.WP.322.C.0001.0073 - Лента противопожарная горизонтальная.ipt</v>
      </c>
      <c r="B86" s="10" t="str">
        <f>'КВ 1'!B46</f>
        <v>GG.WP.322.C.0001.0073</v>
      </c>
      <c r="C86" s="10" t="str">
        <f>'КВ 1'!C46</f>
        <v>Лента противопожарная горизонтальная</v>
      </c>
      <c r="D86" s="4" t="s">
        <v>16</v>
      </c>
      <c r="E86" s="3" t="s">
        <v>19</v>
      </c>
      <c r="F86" s="3" t="s">
        <v>179</v>
      </c>
      <c r="G86" s="15">
        <v>46083</v>
      </c>
      <c r="H86" s="3" t="s">
        <v>180</v>
      </c>
      <c r="I86" s="15">
        <v>46083</v>
      </c>
      <c r="J86" s="3" t="s">
        <v>23</v>
      </c>
      <c r="K86" s="3" t="s">
        <v>23</v>
      </c>
      <c r="L86" s="3" t="s">
        <v>180</v>
      </c>
      <c r="M86" s="15">
        <v>46083</v>
      </c>
      <c r="N86" s="3" t="s">
        <v>180</v>
      </c>
      <c r="O86" s="15">
        <v>46083</v>
      </c>
      <c r="P86" s="3" t="s">
        <v>180</v>
      </c>
      <c r="Q86" s="15">
        <v>46083</v>
      </c>
      <c r="R86" s="3" t="s">
        <v>181</v>
      </c>
    </row>
    <row r="87" spans="1:18" x14ac:dyDescent="0.25">
      <c r="A87" s="68"/>
      <c r="B87" s="68"/>
      <c r="C87" s="68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 ht="28.5" x14ac:dyDescent="0.25">
      <c r="A88" s="10" t="str">
        <f t="shared" si="3"/>
        <v>Гайка DIN 934 M3x0.5 A2.ipt</v>
      </c>
      <c r="B88" s="10" t="str">
        <f>'КВ 1'!B47</f>
        <v>-</v>
      </c>
      <c r="C88" s="10" t="str">
        <f>'КВ 1'!C47</f>
        <v>Гайка DIN 934 M3x0.5 A2</v>
      </c>
      <c r="D88" s="4" t="s">
        <v>16</v>
      </c>
      <c r="E88" s="4" t="s">
        <v>20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</row>
    <row r="89" spans="1:18" ht="28.5" x14ac:dyDescent="0.25">
      <c r="A89" s="10" t="str">
        <f t="shared" si="3"/>
        <v>Винт DIN 965 M5x12x0.8 A2.ipt</v>
      </c>
      <c r="B89" s="10" t="str">
        <f>'КВ 1'!B48</f>
        <v>-</v>
      </c>
      <c r="C89" s="10" t="str">
        <f>'КВ 1'!C48</f>
        <v>Винт DIN 965 M5x12x0.8 A2</v>
      </c>
      <c r="D89" s="4" t="s">
        <v>16</v>
      </c>
      <c r="E89" s="4" t="s">
        <v>20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</row>
    <row r="90" spans="1:18" x14ac:dyDescent="0.25">
      <c r="A90" s="71"/>
      <c r="B90" s="71"/>
      <c r="C90" s="71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1:18" ht="28.5" x14ac:dyDescent="0.25">
      <c r="A91" s="10" t="str">
        <f t="shared" si="3"/>
        <v>GG.WP.322.C.0001.0062 - Рамка.ipt</v>
      </c>
      <c r="B91" s="10" t="str">
        <f>'КВ 1'!B33</f>
        <v>GG.WP.322.C.0001.0062</v>
      </c>
      <c r="C91" s="10" t="str">
        <f>'КВ 1'!C33</f>
        <v>Рамка</v>
      </c>
      <c r="D91" s="4" t="s">
        <v>16</v>
      </c>
      <c r="E91" s="3" t="s">
        <v>19</v>
      </c>
      <c r="F91" s="3" t="s">
        <v>179</v>
      </c>
      <c r="G91" s="15">
        <v>46083</v>
      </c>
      <c r="H91" s="3" t="s">
        <v>180</v>
      </c>
      <c r="I91" s="15">
        <v>46083</v>
      </c>
      <c r="J91" s="3" t="s">
        <v>23</v>
      </c>
      <c r="K91" s="3" t="s">
        <v>23</v>
      </c>
      <c r="L91" s="3" t="s">
        <v>180</v>
      </c>
      <c r="M91" s="15">
        <v>46083</v>
      </c>
      <c r="N91" s="3" t="s">
        <v>180</v>
      </c>
      <c r="O91" s="15">
        <v>46083</v>
      </c>
      <c r="P91" s="3" t="s">
        <v>180</v>
      </c>
      <c r="Q91" s="15">
        <v>46083</v>
      </c>
      <c r="R91" s="3" t="s">
        <v>181</v>
      </c>
    </row>
    <row r="92" spans="1:18" x14ac:dyDescent="0.25">
      <c r="A92" s="71"/>
      <c r="B92" s="71"/>
      <c r="C92" s="71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</row>
    <row r="93" spans="1:18" ht="28.5" x14ac:dyDescent="0.25">
      <c r="A93" s="10" t="str">
        <f t="shared" si="3"/>
        <v>Приварная гайка DIN 929 M5x0.8 A2.ipt</v>
      </c>
      <c r="B93" s="10" t="str">
        <f>'КВ 1'!B34</f>
        <v>-</v>
      </c>
      <c r="C93" s="10" t="str">
        <f>'КВ 1'!C34</f>
        <v>Приварная гайка DIN 929 M5x0.8 A2</v>
      </c>
      <c r="D93" s="4" t="s">
        <v>16</v>
      </c>
      <c r="E93" s="4" t="s">
        <v>20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</row>
    <row r="94" spans="1:18" x14ac:dyDescent="0.25">
      <c r="A94" s="73"/>
      <c r="B94" s="73"/>
      <c r="C94" s="73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 spans="1:18" ht="28.5" x14ac:dyDescent="0.25">
      <c r="A95" s="10" t="str">
        <f t="shared" si="3"/>
        <v>GG.WP.322.C.0001.0081СБ - Замок.iam</v>
      </c>
      <c r="B95" s="3" t="str">
        <f>'КВ 1'!B50</f>
        <v>GG.WP.322.C.0001.0081СБ</v>
      </c>
      <c r="C95" s="3" t="str">
        <f>'КВ 1'!C50</f>
        <v>Замок</v>
      </c>
      <c r="D95" s="3" t="s">
        <v>17</v>
      </c>
      <c r="E95" s="3" t="s">
        <v>19</v>
      </c>
      <c r="F95" s="3" t="s">
        <v>179</v>
      </c>
      <c r="G95" s="15">
        <v>46083</v>
      </c>
      <c r="H95" s="3" t="s">
        <v>180</v>
      </c>
      <c r="I95" s="15">
        <v>46083</v>
      </c>
      <c r="J95" s="3" t="s">
        <v>23</v>
      </c>
      <c r="K95" s="3" t="s">
        <v>23</v>
      </c>
      <c r="L95" s="3" t="s">
        <v>180</v>
      </c>
      <c r="M95" s="15">
        <v>46083</v>
      </c>
      <c r="N95" s="3" t="s">
        <v>180</v>
      </c>
      <c r="O95" s="15">
        <v>46083</v>
      </c>
      <c r="P95" s="3" t="s">
        <v>180</v>
      </c>
      <c r="Q95" s="15">
        <v>46083</v>
      </c>
      <c r="R95" s="3" t="s">
        <v>181</v>
      </c>
    </row>
    <row r="96" spans="1:18" x14ac:dyDescent="0.25">
      <c r="A96" s="73"/>
      <c r="B96" s="73"/>
      <c r="C96" s="73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</row>
    <row r="97" spans="1:18" ht="28.5" x14ac:dyDescent="0.25">
      <c r="A97" s="10" t="str">
        <f t="shared" si="3"/>
        <v>GG.WP.322.C.0001.0082 - Держатель замка.ipt</v>
      </c>
      <c r="B97" s="10" t="str">
        <f>'КВ 1'!B51</f>
        <v>GG.WP.322.C.0001.0082</v>
      </c>
      <c r="C97" s="10" t="str">
        <f>'КВ 1'!C51</f>
        <v>Держатель замка</v>
      </c>
      <c r="D97" s="4" t="s">
        <v>16</v>
      </c>
      <c r="E97" s="3" t="s">
        <v>19</v>
      </c>
      <c r="F97" s="3" t="s">
        <v>179</v>
      </c>
      <c r="G97" s="15">
        <v>46083</v>
      </c>
      <c r="H97" s="3" t="s">
        <v>180</v>
      </c>
      <c r="I97" s="15">
        <v>46083</v>
      </c>
      <c r="J97" s="3" t="s">
        <v>23</v>
      </c>
      <c r="K97" s="3" t="s">
        <v>23</v>
      </c>
      <c r="L97" s="3" t="s">
        <v>180</v>
      </c>
      <c r="M97" s="15">
        <v>46083</v>
      </c>
      <c r="N97" s="3" t="s">
        <v>180</v>
      </c>
      <c r="O97" s="15">
        <v>46083</v>
      </c>
      <c r="P97" s="3" t="s">
        <v>180</v>
      </c>
      <c r="Q97" s="15">
        <v>46083</v>
      </c>
      <c r="R97" s="3" t="s">
        <v>181</v>
      </c>
    </row>
    <row r="98" spans="1:18" x14ac:dyDescent="0.25">
      <c r="A98" s="73"/>
      <c r="B98" s="73"/>
      <c r="C98" s="73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</row>
    <row r="99" spans="1:18" ht="28.5" x14ac:dyDescent="0.25">
      <c r="A99" s="10" t="str">
        <f t="shared" si="3"/>
        <v>Гайка-заклепка М5x13x0.8 A2.ipt</v>
      </c>
      <c r="B99" s="3" t="str">
        <f>'КВ 1'!B52</f>
        <v>-</v>
      </c>
      <c r="C99" s="3" t="str">
        <f>'КВ 1'!C52</f>
        <v>Гайка-заклепка М5x13x0.8 A2</v>
      </c>
      <c r="D99" s="4" t="s">
        <v>16</v>
      </c>
      <c r="E99" s="4" t="s">
        <v>20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</row>
    <row r="100" spans="1:18" ht="28.5" x14ac:dyDescent="0.25">
      <c r="A100" s="10" t="str">
        <f t="shared" si="3"/>
        <v>Винт DIN 912 M4x12x0.7 A2.ipt</v>
      </c>
      <c r="B100" s="3" t="str">
        <f>'КВ 1'!B53</f>
        <v>-</v>
      </c>
      <c r="C100" s="3" t="str">
        <f>'КВ 1'!C53</f>
        <v>Винт DIN 912 M4x12x0.7 A2</v>
      </c>
      <c r="D100" s="4" t="s">
        <v>16</v>
      </c>
      <c r="E100" s="4" t="s">
        <v>20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</row>
    <row r="101" spans="1:18" x14ac:dyDescent="0.25">
      <c r="A101" s="66"/>
      <c r="B101" s="66"/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</row>
    <row r="102" spans="1:18" ht="28.5" x14ac:dyDescent="0.25">
      <c r="A102" s="10" t="str">
        <f t="shared" si="3"/>
        <v>GG.WP.322.C.0001.0091 - Приёмный кронштейн.ipt</v>
      </c>
      <c r="B102" s="3" t="str">
        <f>'КВ 1'!B55</f>
        <v>GG.WP.322.C.0001.0091</v>
      </c>
      <c r="C102" s="3" t="str">
        <f>'КВ 1'!C55</f>
        <v>Приёмный кронштейн</v>
      </c>
      <c r="D102" s="4" t="s">
        <v>16</v>
      </c>
      <c r="E102" s="3" t="s">
        <v>19</v>
      </c>
      <c r="F102" s="3" t="s">
        <v>179</v>
      </c>
      <c r="G102" s="15">
        <v>46083</v>
      </c>
      <c r="H102" s="3" t="s">
        <v>180</v>
      </c>
      <c r="I102" s="15">
        <v>46083</v>
      </c>
      <c r="J102" s="3" t="s">
        <v>23</v>
      </c>
      <c r="K102" s="3" t="s">
        <v>23</v>
      </c>
      <c r="L102" s="3" t="s">
        <v>180</v>
      </c>
      <c r="M102" s="15">
        <v>46083</v>
      </c>
      <c r="N102" s="3" t="s">
        <v>180</v>
      </c>
      <c r="O102" s="15">
        <v>46083</v>
      </c>
      <c r="P102" s="3" t="s">
        <v>180</v>
      </c>
      <c r="Q102" s="15">
        <v>46083</v>
      </c>
      <c r="R102" s="3" t="s">
        <v>181</v>
      </c>
    </row>
    <row r="103" spans="1:18" ht="42.75" x14ac:dyDescent="0.25">
      <c r="A103" s="10" t="str">
        <f t="shared" si="3"/>
        <v>Неодимовый магнит (диск) 15х3 с зенковкой 4.5x7.5.ipt</v>
      </c>
      <c r="B103" s="3" t="str">
        <f>'КВ 1'!B56</f>
        <v>-</v>
      </c>
      <c r="C103" s="3" t="str">
        <f>'КВ 1'!C56</f>
        <v>Неодимовый магнит (диск) 15х3 с зенковкой 4.5x7.5</v>
      </c>
      <c r="D103" s="4" t="s">
        <v>16</v>
      </c>
      <c r="E103" s="4" t="s">
        <v>20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</row>
    <row r="104" spans="1:18" x14ac:dyDescent="0.25">
      <c r="A104" s="66"/>
      <c r="B104" s="66"/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</row>
    <row r="105" spans="1:18" ht="28.5" x14ac:dyDescent="0.25">
      <c r="A105" s="10" t="str">
        <f t="shared" si="3"/>
        <v>Приварная гайка DIN 929 M4x0.7 ZN.ipt</v>
      </c>
      <c r="B105" s="3" t="str">
        <f>'КВ 1'!B57</f>
        <v>-</v>
      </c>
      <c r="C105" s="3" t="str">
        <f>'КВ 1'!C57</f>
        <v>Приварная гайка DIN 929 M4x0.7 ZN</v>
      </c>
      <c r="D105" s="4" t="s">
        <v>16</v>
      </c>
      <c r="E105" s="4" t="s">
        <v>20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</row>
    <row r="106" spans="1:18" ht="28.5" x14ac:dyDescent="0.25">
      <c r="A106" s="10" t="str">
        <f t="shared" si="3"/>
        <v>Винт DIN 929 M4x0.7 ZN.ipt</v>
      </c>
      <c r="B106" s="3" t="str">
        <f>'КВ 1'!B58</f>
        <v>-</v>
      </c>
      <c r="C106" s="3" t="str">
        <f>'КВ 1'!C58</f>
        <v>Винт DIN 929 M4x0.7 ZN</v>
      </c>
      <c r="D106" s="4" t="s">
        <v>16</v>
      </c>
      <c r="E106" s="4" t="s">
        <v>20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</row>
    <row r="107" spans="1:18" x14ac:dyDescent="0.25">
      <c r="A107" s="77"/>
      <c r="B107" s="77"/>
      <c r="C107" s="77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</row>
    <row r="108" spans="1:18" ht="42.75" x14ac:dyDescent="0.25">
      <c r="A108" s="10" t="str">
        <f t="shared" si="3"/>
        <v>GG.WP.322.C.0001.0101СБ - Короб с электроникой в сборе.iam</v>
      </c>
      <c r="B108" s="3" t="str">
        <f>'КВ 1'!B60</f>
        <v>GG.WP.322.C.0001.0101СБ</v>
      </c>
      <c r="C108" s="3" t="str">
        <f>'КВ 1'!C60</f>
        <v>Короб с электроникой в сборе</v>
      </c>
      <c r="D108" s="3" t="s">
        <v>17</v>
      </c>
      <c r="E108" s="3" t="s">
        <v>19</v>
      </c>
      <c r="F108" s="3" t="s">
        <v>179</v>
      </c>
      <c r="G108" s="15">
        <v>46083</v>
      </c>
      <c r="H108" s="3" t="s">
        <v>180</v>
      </c>
      <c r="I108" s="15">
        <v>46083</v>
      </c>
      <c r="J108" s="3" t="s">
        <v>23</v>
      </c>
      <c r="K108" s="3" t="s">
        <v>23</v>
      </c>
      <c r="L108" s="3" t="s">
        <v>180</v>
      </c>
      <c r="M108" s="15">
        <v>46083</v>
      </c>
      <c r="N108" s="3" t="s">
        <v>180</v>
      </c>
      <c r="O108" s="15">
        <v>46083</v>
      </c>
      <c r="P108" s="3" t="s">
        <v>180</v>
      </c>
      <c r="Q108" s="15">
        <v>46083</v>
      </c>
      <c r="R108" s="3" t="s">
        <v>181</v>
      </c>
    </row>
    <row r="109" spans="1:18" x14ac:dyDescent="0.25">
      <c r="A109" s="77"/>
      <c r="B109" s="77"/>
      <c r="C109" s="77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</row>
    <row r="110" spans="1:18" ht="28.5" x14ac:dyDescent="0.25">
      <c r="A110" s="10" t="str">
        <f t="shared" si="3"/>
        <v>GG.WP.322.C.0001.0102 - Ответный кронштейн.ipt</v>
      </c>
      <c r="B110" s="10" t="str">
        <f>'КВ 1'!B61</f>
        <v>GG.WP.322.C.0001.0102</v>
      </c>
      <c r="C110" s="10" t="str">
        <f>'КВ 1'!C61</f>
        <v>Ответный кронштейн</v>
      </c>
      <c r="D110" s="4" t="s">
        <v>16</v>
      </c>
      <c r="E110" s="3" t="s">
        <v>19</v>
      </c>
      <c r="F110" s="3" t="s">
        <v>179</v>
      </c>
      <c r="G110" s="15">
        <v>46083</v>
      </c>
      <c r="H110" s="3" t="s">
        <v>180</v>
      </c>
      <c r="I110" s="15">
        <v>46083</v>
      </c>
      <c r="J110" s="3" t="s">
        <v>23</v>
      </c>
      <c r="K110" s="3" t="s">
        <v>23</v>
      </c>
      <c r="L110" s="3" t="s">
        <v>180</v>
      </c>
      <c r="M110" s="15">
        <v>46083</v>
      </c>
      <c r="N110" s="3" t="s">
        <v>180</v>
      </c>
      <c r="O110" s="15">
        <v>46083</v>
      </c>
      <c r="P110" s="3" t="s">
        <v>180</v>
      </c>
      <c r="Q110" s="15">
        <v>46083</v>
      </c>
      <c r="R110" s="3" t="s">
        <v>181</v>
      </c>
    </row>
    <row r="111" spans="1:18" x14ac:dyDescent="0.25">
      <c r="A111" s="77"/>
      <c r="B111" s="77"/>
      <c r="C111" s="77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</row>
    <row r="112" spans="1:18" ht="28.5" x14ac:dyDescent="0.25">
      <c r="A112" s="10" t="str">
        <f t="shared" si="3"/>
        <v>Приварная гайка DIN 929 M6x1 ZN.ipt</v>
      </c>
      <c r="B112" s="10" t="str">
        <f>'КВ 1'!B62</f>
        <v>-</v>
      </c>
      <c r="C112" s="10" t="str">
        <f>'КВ 1'!C62</f>
        <v>Приварная гайка DIN 929 M6x1 ZN</v>
      </c>
      <c r="D112" s="4" t="s">
        <v>16</v>
      </c>
      <c r="E112" s="4" t="s">
        <v>20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</row>
    <row r="113" spans="1:18" ht="28.5" x14ac:dyDescent="0.25">
      <c r="A113" s="10" t="str">
        <f t="shared" si="3"/>
        <v>Винт DIN 7420 M5x16x0.8 A2.ipt</v>
      </c>
      <c r="B113" s="10" t="str">
        <f>'КВ 1'!B63</f>
        <v>-</v>
      </c>
      <c r="C113" s="10" t="str">
        <f>'КВ 1'!C63</f>
        <v>Винт DIN 7420 M5x16x0.8 A2</v>
      </c>
      <c r="D113" s="4" t="s">
        <v>16</v>
      </c>
      <c r="E113" s="4" t="s">
        <v>20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0669-FA90-4566-B1DF-FF72A90BF8D0}">
  <sheetPr>
    <outlinePr summaryBelow="0" summaryRight="0"/>
    <pageSetUpPr autoPageBreaks="0"/>
  </sheetPr>
  <dimension ref="A1:M82"/>
  <sheetViews>
    <sheetView topLeftCell="A43" zoomScale="115" zoomScaleNormal="115" workbookViewId="0">
      <selection activeCell="G16" sqref="G16"/>
    </sheetView>
  </sheetViews>
  <sheetFormatPr defaultColWidth="9.140625" defaultRowHeight="11.25" x14ac:dyDescent="0.25"/>
  <cols>
    <col min="1" max="1" width="5.5703125" style="25" customWidth="1"/>
    <col min="2" max="2" width="21.7109375" style="25" customWidth="1"/>
    <col min="3" max="3" width="38.5703125" style="25" customWidth="1"/>
    <col min="4" max="5" width="13.5703125" style="25" customWidth="1"/>
    <col min="6" max="7" width="30.28515625" style="25" customWidth="1"/>
    <col min="8" max="8" width="41.140625" style="25" customWidth="1"/>
    <col min="9" max="9" width="34.7109375" style="25" customWidth="1"/>
    <col min="10" max="10" width="9.140625" style="25"/>
    <col min="11" max="11" width="17.85546875" style="25" customWidth="1"/>
    <col min="12" max="12" width="9.140625" style="25"/>
    <col min="13" max="13" width="33.42578125" style="25" customWidth="1"/>
    <col min="14" max="257" width="9.140625" style="25"/>
    <col min="258" max="258" width="5.5703125" style="25" customWidth="1"/>
    <col min="259" max="259" width="19.7109375" style="25" customWidth="1"/>
    <col min="260" max="260" width="34.28515625" style="25" customWidth="1"/>
    <col min="261" max="262" width="13.5703125" style="25" customWidth="1"/>
    <col min="263" max="263" width="38.42578125" style="25" customWidth="1"/>
    <col min="264" max="264" width="26.42578125" style="25" customWidth="1"/>
    <col min="265" max="265" width="38" style="25" customWidth="1"/>
    <col min="266" max="513" width="9.140625" style="25"/>
    <col min="514" max="514" width="5.5703125" style="25" customWidth="1"/>
    <col min="515" max="515" width="19.7109375" style="25" customWidth="1"/>
    <col min="516" max="516" width="34.28515625" style="25" customWidth="1"/>
    <col min="517" max="518" width="13.5703125" style="25" customWidth="1"/>
    <col min="519" max="519" width="38.42578125" style="25" customWidth="1"/>
    <col min="520" max="520" width="26.42578125" style="25" customWidth="1"/>
    <col min="521" max="521" width="38" style="25" customWidth="1"/>
    <col min="522" max="769" width="9.140625" style="25"/>
    <col min="770" max="770" width="5.5703125" style="25" customWidth="1"/>
    <col min="771" max="771" width="19.7109375" style="25" customWidth="1"/>
    <col min="772" max="772" width="34.28515625" style="25" customWidth="1"/>
    <col min="773" max="774" width="13.5703125" style="25" customWidth="1"/>
    <col min="775" max="775" width="38.42578125" style="25" customWidth="1"/>
    <col min="776" max="776" width="26.42578125" style="25" customWidth="1"/>
    <col min="777" max="777" width="38" style="25" customWidth="1"/>
    <col min="778" max="1025" width="9.140625" style="25"/>
    <col min="1026" max="1026" width="5.5703125" style="25" customWidth="1"/>
    <col min="1027" max="1027" width="19.7109375" style="25" customWidth="1"/>
    <col min="1028" max="1028" width="34.28515625" style="25" customWidth="1"/>
    <col min="1029" max="1030" width="13.5703125" style="25" customWidth="1"/>
    <col min="1031" max="1031" width="38.42578125" style="25" customWidth="1"/>
    <col min="1032" max="1032" width="26.42578125" style="25" customWidth="1"/>
    <col min="1033" max="1033" width="38" style="25" customWidth="1"/>
    <col min="1034" max="1281" width="9.140625" style="25"/>
    <col min="1282" max="1282" width="5.5703125" style="25" customWidth="1"/>
    <col min="1283" max="1283" width="19.7109375" style="25" customWidth="1"/>
    <col min="1284" max="1284" width="34.28515625" style="25" customWidth="1"/>
    <col min="1285" max="1286" width="13.5703125" style="25" customWidth="1"/>
    <col min="1287" max="1287" width="38.42578125" style="25" customWidth="1"/>
    <col min="1288" max="1288" width="26.42578125" style="25" customWidth="1"/>
    <col min="1289" max="1289" width="38" style="25" customWidth="1"/>
    <col min="1290" max="1537" width="9.140625" style="25"/>
    <col min="1538" max="1538" width="5.5703125" style="25" customWidth="1"/>
    <col min="1539" max="1539" width="19.7109375" style="25" customWidth="1"/>
    <col min="1540" max="1540" width="34.28515625" style="25" customWidth="1"/>
    <col min="1541" max="1542" width="13.5703125" style="25" customWidth="1"/>
    <col min="1543" max="1543" width="38.42578125" style="25" customWidth="1"/>
    <col min="1544" max="1544" width="26.42578125" style="25" customWidth="1"/>
    <col min="1545" max="1545" width="38" style="25" customWidth="1"/>
    <col min="1546" max="1793" width="9.140625" style="25"/>
    <col min="1794" max="1794" width="5.5703125" style="25" customWidth="1"/>
    <col min="1795" max="1795" width="19.7109375" style="25" customWidth="1"/>
    <col min="1796" max="1796" width="34.28515625" style="25" customWidth="1"/>
    <col min="1797" max="1798" width="13.5703125" style="25" customWidth="1"/>
    <col min="1799" max="1799" width="38.42578125" style="25" customWidth="1"/>
    <col min="1800" max="1800" width="26.42578125" style="25" customWidth="1"/>
    <col min="1801" max="1801" width="38" style="25" customWidth="1"/>
    <col min="1802" max="2049" width="9.140625" style="25"/>
    <col min="2050" max="2050" width="5.5703125" style="25" customWidth="1"/>
    <col min="2051" max="2051" width="19.7109375" style="25" customWidth="1"/>
    <col min="2052" max="2052" width="34.28515625" style="25" customWidth="1"/>
    <col min="2053" max="2054" width="13.5703125" style="25" customWidth="1"/>
    <col min="2055" max="2055" width="38.42578125" style="25" customWidth="1"/>
    <col min="2056" max="2056" width="26.42578125" style="25" customWidth="1"/>
    <col min="2057" max="2057" width="38" style="25" customWidth="1"/>
    <col min="2058" max="2305" width="9.140625" style="25"/>
    <col min="2306" max="2306" width="5.5703125" style="25" customWidth="1"/>
    <col min="2307" max="2307" width="19.7109375" style="25" customWidth="1"/>
    <col min="2308" max="2308" width="34.28515625" style="25" customWidth="1"/>
    <col min="2309" max="2310" width="13.5703125" style="25" customWidth="1"/>
    <col min="2311" max="2311" width="38.42578125" style="25" customWidth="1"/>
    <col min="2312" max="2312" width="26.42578125" style="25" customWidth="1"/>
    <col min="2313" max="2313" width="38" style="25" customWidth="1"/>
    <col min="2314" max="2561" width="9.140625" style="25"/>
    <col min="2562" max="2562" width="5.5703125" style="25" customWidth="1"/>
    <col min="2563" max="2563" width="19.7109375" style="25" customWidth="1"/>
    <col min="2564" max="2564" width="34.28515625" style="25" customWidth="1"/>
    <col min="2565" max="2566" width="13.5703125" style="25" customWidth="1"/>
    <col min="2567" max="2567" width="38.42578125" style="25" customWidth="1"/>
    <col min="2568" max="2568" width="26.42578125" style="25" customWidth="1"/>
    <col min="2569" max="2569" width="38" style="25" customWidth="1"/>
    <col min="2570" max="2817" width="9.140625" style="25"/>
    <col min="2818" max="2818" width="5.5703125" style="25" customWidth="1"/>
    <col min="2819" max="2819" width="19.7109375" style="25" customWidth="1"/>
    <col min="2820" max="2820" width="34.28515625" style="25" customWidth="1"/>
    <col min="2821" max="2822" width="13.5703125" style="25" customWidth="1"/>
    <col min="2823" max="2823" width="38.42578125" style="25" customWidth="1"/>
    <col min="2824" max="2824" width="26.42578125" style="25" customWidth="1"/>
    <col min="2825" max="2825" width="38" style="25" customWidth="1"/>
    <col min="2826" max="3073" width="9.140625" style="25"/>
    <col min="3074" max="3074" width="5.5703125" style="25" customWidth="1"/>
    <col min="3075" max="3075" width="19.7109375" style="25" customWidth="1"/>
    <col min="3076" max="3076" width="34.28515625" style="25" customWidth="1"/>
    <col min="3077" max="3078" width="13.5703125" style="25" customWidth="1"/>
    <col min="3079" max="3079" width="38.42578125" style="25" customWidth="1"/>
    <col min="3080" max="3080" width="26.42578125" style="25" customWidth="1"/>
    <col min="3081" max="3081" width="38" style="25" customWidth="1"/>
    <col min="3082" max="3329" width="9.140625" style="25"/>
    <col min="3330" max="3330" width="5.5703125" style="25" customWidth="1"/>
    <col min="3331" max="3331" width="19.7109375" style="25" customWidth="1"/>
    <col min="3332" max="3332" width="34.28515625" style="25" customWidth="1"/>
    <col min="3333" max="3334" width="13.5703125" style="25" customWidth="1"/>
    <col min="3335" max="3335" width="38.42578125" style="25" customWidth="1"/>
    <col min="3336" max="3336" width="26.42578125" style="25" customWidth="1"/>
    <col min="3337" max="3337" width="38" style="25" customWidth="1"/>
    <col min="3338" max="3585" width="9.140625" style="25"/>
    <col min="3586" max="3586" width="5.5703125" style="25" customWidth="1"/>
    <col min="3587" max="3587" width="19.7109375" style="25" customWidth="1"/>
    <col min="3588" max="3588" width="34.28515625" style="25" customWidth="1"/>
    <col min="3589" max="3590" width="13.5703125" style="25" customWidth="1"/>
    <col min="3591" max="3591" width="38.42578125" style="25" customWidth="1"/>
    <col min="3592" max="3592" width="26.42578125" style="25" customWidth="1"/>
    <col min="3593" max="3593" width="38" style="25" customWidth="1"/>
    <col min="3594" max="3841" width="9.140625" style="25"/>
    <col min="3842" max="3842" width="5.5703125" style="25" customWidth="1"/>
    <col min="3843" max="3843" width="19.7109375" style="25" customWidth="1"/>
    <col min="3844" max="3844" width="34.28515625" style="25" customWidth="1"/>
    <col min="3845" max="3846" width="13.5703125" style="25" customWidth="1"/>
    <col min="3847" max="3847" width="38.42578125" style="25" customWidth="1"/>
    <col min="3848" max="3848" width="26.42578125" style="25" customWidth="1"/>
    <col min="3849" max="3849" width="38" style="25" customWidth="1"/>
    <col min="3850" max="4097" width="9.140625" style="25"/>
    <col min="4098" max="4098" width="5.5703125" style="25" customWidth="1"/>
    <col min="4099" max="4099" width="19.7109375" style="25" customWidth="1"/>
    <col min="4100" max="4100" width="34.28515625" style="25" customWidth="1"/>
    <col min="4101" max="4102" width="13.5703125" style="25" customWidth="1"/>
    <col min="4103" max="4103" width="38.42578125" style="25" customWidth="1"/>
    <col min="4104" max="4104" width="26.42578125" style="25" customWidth="1"/>
    <col min="4105" max="4105" width="38" style="25" customWidth="1"/>
    <col min="4106" max="4353" width="9.140625" style="25"/>
    <col min="4354" max="4354" width="5.5703125" style="25" customWidth="1"/>
    <col min="4355" max="4355" width="19.7109375" style="25" customWidth="1"/>
    <col min="4356" max="4356" width="34.28515625" style="25" customWidth="1"/>
    <col min="4357" max="4358" width="13.5703125" style="25" customWidth="1"/>
    <col min="4359" max="4359" width="38.42578125" style="25" customWidth="1"/>
    <col min="4360" max="4360" width="26.42578125" style="25" customWidth="1"/>
    <col min="4361" max="4361" width="38" style="25" customWidth="1"/>
    <col min="4362" max="4609" width="9.140625" style="25"/>
    <col min="4610" max="4610" width="5.5703125" style="25" customWidth="1"/>
    <col min="4611" max="4611" width="19.7109375" style="25" customWidth="1"/>
    <col min="4612" max="4612" width="34.28515625" style="25" customWidth="1"/>
    <col min="4613" max="4614" width="13.5703125" style="25" customWidth="1"/>
    <col min="4615" max="4615" width="38.42578125" style="25" customWidth="1"/>
    <col min="4616" max="4616" width="26.42578125" style="25" customWidth="1"/>
    <col min="4617" max="4617" width="38" style="25" customWidth="1"/>
    <col min="4618" max="4865" width="9.140625" style="25"/>
    <col min="4866" max="4866" width="5.5703125" style="25" customWidth="1"/>
    <col min="4867" max="4867" width="19.7109375" style="25" customWidth="1"/>
    <col min="4868" max="4868" width="34.28515625" style="25" customWidth="1"/>
    <col min="4869" max="4870" width="13.5703125" style="25" customWidth="1"/>
    <col min="4871" max="4871" width="38.42578125" style="25" customWidth="1"/>
    <col min="4872" max="4872" width="26.42578125" style="25" customWidth="1"/>
    <col min="4873" max="4873" width="38" style="25" customWidth="1"/>
    <col min="4874" max="5121" width="9.140625" style="25"/>
    <col min="5122" max="5122" width="5.5703125" style="25" customWidth="1"/>
    <col min="5123" max="5123" width="19.7109375" style="25" customWidth="1"/>
    <col min="5124" max="5124" width="34.28515625" style="25" customWidth="1"/>
    <col min="5125" max="5126" width="13.5703125" style="25" customWidth="1"/>
    <col min="5127" max="5127" width="38.42578125" style="25" customWidth="1"/>
    <col min="5128" max="5128" width="26.42578125" style="25" customWidth="1"/>
    <col min="5129" max="5129" width="38" style="25" customWidth="1"/>
    <col min="5130" max="5377" width="9.140625" style="25"/>
    <col min="5378" max="5378" width="5.5703125" style="25" customWidth="1"/>
    <col min="5379" max="5379" width="19.7109375" style="25" customWidth="1"/>
    <col min="5380" max="5380" width="34.28515625" style="25" customWidth="1"/>
    <col min="5381" max="5382" width="13.5703125" style="25" customWidth="1"/>
    <col min="5383" max="5383" width="38.42578125" style="25" customWidth="1"/>
    <col min="5384" max="5384" width="26.42578125" style="25" customWidth="1"/>
    <col min="5385" max="5385" width="38" style="25" customWidth="1"/>
    <col min="5386" max="5633" width="9.140625" style="25"/>
    <col min="5634" max="5634" width="5.5703125" style="25" customWidth="1"/>
    <col min="5635" max="5635" width="19.7109375" style="25" customWidth="1"/>
    <col min="5636" max="5636" width="34.28515625" style="25" customWidth="1"/>
    <col min="5637" max="5638" width="13.5703125" style="25" customWidth="1"/>
    <col min="5639" max="5639" width="38.42578125" style="25" customWidth="1"/>
    <col min="5640" max="5640" width="26.42578125" style="25" customWidth="1"/>
    <col min="5641" max="5641" width="38" style="25" customWidth="1"/>
    <col min="5642" max="5889" width="9.140625" style="25"/>
    <col min="5890" max="5890" width="5.5703125" style="25" customWidth="1"/>
    <col min="5891" max="5891" width="19.7109375" style="25" customWidth="1"/>
    <col min="5892" max="5892" width="34.28515625" style="25" customWidth="1"/>
    <col min="5893" max="5894" width="13.5703125" style="25" customWidth="1"/>
    <col min="5895" max="5895" width="38.42578125" style="25" customWidth="1"/>
    <col min="5896" max="5896" width="26.42578125" style="25" customWidth="1"/>
    <col min="5897" max="5897" width="38" style="25" customWidth="1"/>
    <col min="5898" max="6145" width="9.140625" style="25"/>
    <col min="6146" max="6146" width="5.5703125" style="25" customWidth="1"/>
    <col min="6147" max="6147" width="19.7109375" style="25" customWidth="1"/>
    <col min="6148" max="6148" width="34.28515625" style="25" customWidth="1"/>
    <col min="6149" max="6150" width="13.5703125" style="25" customWidth="1"/>
    <col min="6151" max="6151" width="38.42578125" style="25" customWidth="1"/>
    <col min="6152" max="6152" width="26.42578125" style="25" customWidth="1"/>
    <col min="6153" max="6153" width="38" style="25" customWidth="1"/>
    <col min="6154" max="6401" width="9.140625" style="25"/>
    <col min="6402" max="6402" width="5.5703125" style="25" customWidth="1"/>
    <col min="6403" max="6403" width="19.7109375" style="25" customWidth="1"/>
    <col min="6404" max="6404" width="34.28515625" style="25" customWidth="1"/>
    <col min="6405" max="6406" width="13.5703125" style="25" customWidth="1"/>
    <col min="6407" max="6407" width="38.42578125" style="25" customWidth="1"/>
    <col min="6408" max="6408" width="26.42578125" style="25" customWidth="1"/>
    <col min="6409" max="6409" width="38" style="25" customWidth="1"/>
    <col min="6410" max="6657" width="9.140625" style="25"/>
    <col min="6658" max="6658" width="5.5703125" style="25" customWidth="1"/>
    <col min="6659" max="6659" width="19.7109375" style="25" customWidth="1"/>
    <col min="6660" max="6660" width="34.28515625" style="25" customWidth="1"/>
    <col min="6661" max="6662" width="13.5703125" style="25" customWidth="1"/>
    <col min="6663" max="6663" width="38.42578125" style="25" customWidth="1"/>
    <col min="6664" max="6664" width="26.42578125" style="25" customWidth="1"/>
    <col min="6665" max="6665" width="38" style="25" customWidth="1"/>
    <col min="6666" max="6913" width="9.140625" style="25"/>
    <col min="6914" max="6914" width="5.5703125" style="25" customWidth="1"/>
    <col min="6915" max="6915" width="19.7109375" style="25" customWidth="1"/>
    <col min="6916" max="6916" width="34.28515625" style="25" customWidth="1"/>
    <col min="6917" max="6918" width="13.5703125" style="25" customWidth="1"/>
    <col min="6919" max="6919" width="38.42578125" style="25" customWidth="1"/>
    <col min="6920" max="6920" width="26.42578125" style="25" customWidth="1"/>
    <col min="6921" max="6921" width="38" style="25" customWidth="1"/>
    <col min="6922" max="7169" width="9.140625" style="25"/>
    <col min="7170" max="7170" width="5.5703125" style="25" customWidth="1"/>
    <col min="7171" max="7171" width="19.7109375" style="25" customWidth="1"/>
    <col min="7172" max="7172" width="34.28515625" style="25" customWidth="1"/>
    <col min="7173" max="7174" width="13.5703125" style="25" customWidth="1"/>
    <col min="7175" max="7175" width="38.42578125" style="25" customWidth="1"/>
    <col min="7176" max="7176" width="26.42578125" style="25" customWidth="1"/>
    <col min="7177" max="7177" width="38" style="25" customWidth="1"/>
    <col min="7178" max="7425" width="9.140625" style="25"/>
    <col min="7426" max="7426" width="5.5703125" style="25" customWidth="1"/>
    <col min="7427" max="7427" width="19.7109375" style="25" customWidth="1"/>
    <col min="7428" max="7428" width="34.28515625" style="25" customWidth="1"/>
    <col min="7429" max="7430" width="13.5703125" style="25" customWidth="1"/>
    <col min="7431" max="7431" width="38.42578125" style="25" customWidth="1"/>
    <col min="7432" max="7432" width="26.42578125" style="25" customWidth="1"/>
    <col min="7433" max="7433" width="38" style="25" customWidth="1"/>
    <col min="7434" max="7681" width="9.140625" style="25"/>
    <col min="7682" max="7682" width="5.5703125" style="25" customWidth="1"/>
    <col min="7683" max="7683" width="19.7109375" style="25" customWidth="1"/>
    <col min="7684" max="7684" width="34.28515625" style="25" customWidth="1"/>
    <col min="7685" max="7686" width="13.5703125" style="25" customWidth="1"/>
    <col min="7687" max="7687" width="38.42578125" style="25" customWidth="1"/>
    <col min="7688" max="7688" width="26.42578125" style="25" customWidth="1"/>
    <col min="7689" max="7689" width="38" style="25" customWidth="1"/>
    <col min="7690" max="7937" width="9.140625" style="25"/>
    <col min="7938" max="7938" width="5.5703125" style="25" customWidth="1"/>
    <col min="7939" max="7939" width="19.7109375" style="25" customWidth="1"/>
    <col min="7940" max="7940" width="34.28515625" style="25" customWidth="1"/>
    <col min="7941" max="7942" width="13.5703125" style="25" customWidth="1"/>
    <col min="7943" max="7943" width="38.42578125" style="25" customWidth="1"/>
    <col min="7944" max="7944" width="26.42578125" style="25" customWidth="1"/>
    <col min="7945" max="7945" width="38" style="25" customWidth="1"/>
    <col min="7946" max="8193" width="9.140625" style="25"/>
    <col min="8194" max="8194" width="5.5703125" style="25" customWidth="1"/>
    <col min="8195" max="8195" width="19.7109375" style="25" customWidth="1"/>
    <col min="8196" max="8196" width="34.28515625" style="25" customWidth="1"/>
    <col min="8197" max="8198" width="13.5703125" style="25" customWidth="1"/>
    <col min="8199" max="8199" width="38.42578125" style="25" customWidth="1"/>
    <col min="8200" max="8200" width="26.42578125" style="25" customWidth="1"/>
    <col min="8201" max="8201" width="38" style="25" customWidth="1"/>
    <col min="8202" max="8449" width="9.140625" style="25"/>
    <col min="8450" max="8450" width="5.5703125" style="25" customWidth="1"/>
    <col min="8451" max="8451" width="19.7109375" style="25" customWidth="1"/>
    <col min="8452" max="8452" width="34.28515625" style="25" customWidth="1"/>
    <col min="8453" max="8454" width="13.5703125" style="25" customWidth="1"/>
    <col min="8455" max="8455" width="38.42578125" style="25" customWidth="1"/>
    <col min="8456" max="8456" width="26.42578125" style="25" customWidth="1"/>
    <col min="8457" max="8457" width="38" style="25" customWidth="1"/>
    <col min="8458" max="8705" width="9.140625" style="25"/>
    <col min="8706" max="8706" width="5.5703125" style="25" customWidth="1"/>
    <col min="8707" max="8707" width="19.7109375" style="25" customWidth="1"/>
    <col min="8708" max="8708" width="34.28515625" style="25" customWidth="1"/>
    <col min="8709" max="8710" width="13.5703125" style="25" customWidth="1"/>
    <col min="8711" max="8711" width="38.42578125" style="25" customWidth="1"/>
    <col min="8712" max="8712" width="26.42578125" style="25" customWidth="1"/>
    <col min="8713" max="8713" width="38" style="25" customWidth="1"/>
    <col min="8714" max="8961" width="9.140625" style="25"/>
    <col min="8962" max="8962" width="5.5703125" style="25" customWidth="1"/>
    <col min="8963" max="8963" width="19.7109375" style="25" customWidth="1"/>
    <col min="8964" max="8964" width="34.28515625" style="25" customWidth="1"/>
    <col min="8965" max="8966" width="13.5703125" style="25" customWidth="1"/>
    <col min="8967" max="8967" width="38.42578125" style="25" customWidth="1"/>
    <col min="8968" max="8968" width="26.42578125" style="25" customWidth="1"/>
    <col min="8969" max="8969" width="38" style="25" customWidth="1"/>
    <col min="8970" max="9217" width="9.140625" style="25"/>
    <col min="9218" max="9218" width="5.5703125" style="25" customWidth="1"/>
    <col min="9219" max="9219" width="19.7109375" style="25" customWidth="1"/>
    <col min="9220" max="9220" width="34.28515625" style="25" customWidth="1"/>
    <col min="9221" max="9222" width="13.5703125" style="25" customWidth="1"/>
    <col min="9223" max="9223" width="38.42578125" style="25" customWidth="1"/>
    <col min="9224" max="9224" width="26.42578125" style="25" customWidth="1"/>
    <col min="9225" max="9225" width="38" style="25" customWidth="1"/>
    <col min="9226" max="9473" width="9.140625" style="25"/>
    <col min="9474" max="9474" width="5.5703125" style="25" customWidth="1"/>
    <col min="9475" max="9475" width="19.7109375" style="25" customWidth="1"/>
    <col min="9476" max="9476" width="34.28515625" style="25" customWidth="1"/>
    <col min="9477" max="9478" width="13.5703125" style="25" customWidth="1"/>
    <col min="9479" max="9479" width="38.42578125" style="25" customWidth="1"/>
    <col min="9480" max="9480" width="26.42578125" style="25" customWidth="1"/>
    <col min="9481" max="9481" width="38" style="25" customWidth="1"/>
    <col min="9482" max="9729" width="9.140625" style="25"/>
    <col min="9730" max="9730" width="5.5703125" style="25" customWidth="1"/>
    <col min="9731" max="9731" width="19.7109375" style="25" customWidth="1"/>
    <col min="9732" max="9732" width="34.28515625" style="25" customWidth="1"/>
    <col min="9733" max="9734" width="13.5703125" style="25" customWidth="1"/>
    <col min="9735" max="9735" width="38.42578125" style="25" customWidth="1"/>
    <col min="9736" max="9736" width="26.42578125" style="25" customWidth="1"/>
    <col min="9737" max="9737" width="38" style="25" customWidth="1"/>
    <col min="9738" max="9985" width="9.140625" style="25"/>
    <col min="9986" max="9986" width="5.5703125" style="25" customWidth="1"/>
    <col min="9987" max="9987" width="19.7109375" style="25" customWidth="1"/>
    <col min="9988" max="9988" width="34.28515625" style="25" customWidth="1"/>
    <col min="9989" max="9990" width="13.5703125" style="25" customWidth="1"/>
    <col min="9991" max="9991" width="38.42578125" style="25" customWidth="1"/>
    <col min="9992" max="9992" width="26.42578125" style="25" customWidth="1"/>
    <col min="9993" max="9993" width="38" style="25" customWidth="1"/>
    <col min="9994" max="10241" width="9.140625" style="25"/>
    <col min="10242" max="10242" width="5.5703125" style="25" customWidth="1"/>
    <col min="10243" max="10243" width="19.7109375" style="25" customWidth="1"/>
    <col min="10244" max="10244" width="34.28515625" style="25" customWidth="1"/>
    <col min="10245" max="10246" width="13.5703125" style="25" customWidth="1"/>
    <col min="10247" max="10247" width="38.42578125" style="25" customWidth="1"/>
    <col min="10248" max="10248" width="26.42578125" style="25" customWidth="1"/>
    <col min="10249" max="10249" width="38" style="25" customWidth="1"/>
    <col min="10250" max="10497" width="9.140625" style="25"/>
    <col min="10498" max="10498" width="5.5703125" style="25" customWidth="1"/>
    <col min="10499" max="10499" width="19.7109375" style="25" customWidth="1"/>
    <col min="10500" max="10500" width="34.28515625" style="25" customWidth="1"/>
    <col min="10501" max="10502" width="13.5703125" style="25" customWidth="1"/>
    <col min="10503" max="10503" width="38.42578125" style="25" customWidth="1"/>
    <col min="10504" max="10504" width="26.42578125" style="25" customWidth="1"/>
    <col min="10505" max="10505" width="38" style="25" customWidth="1"/>
    <col min="10506" max="10753" width="9.140625" style="25"/>
    <col min="10754" max="10754" width="5.5703125" style="25" customWidth="1"/>
    <col min="10755" max="10755" width="19.7109375" style="25" customWidth="1"/>
    <col min="10756" max="10756" width="34.28515625" style="25" customWidth="1"/>
    <col min="10757" max="10758" width="13.5703125" style="25" customWidth="1"/>
    <col min="10759" max="10759" width="38.42578125" style="25" customWidth="1"/>
    <col min="10760" max="10760" width="26.42578125" style="25" customWidth="1"/>
    <col min="10761" max="10761" width="38" style="25" customWidth="1"/>
    <col min="10762" max="11009" width="9.140625" style="25"/>
    <col min="11010" max="11010" width="5.5703125" style="25" customWidth="1"/>
    <col min="11011" max="11011" width="19.7109375" style="25" customWidth="1"/>
    <col min="11012" max="11012" width="34.28515625" style="25" customWidth="1"/>
    <col min="11013" max="11014" width="13.5703125" style="25" customWidth="1"/>
    <col min="11015" max="11015" width="38.42578125" style="25" customWidth="1"/>
    <col min="11016" max="11016" width="26.42578125" style="25" customWidth="1"/>
    <col min="11017" max="11017" width="38" style="25" customWidth="1"/>
    <col min="11018" max="11265" width="9.140625" style="25"/>
    <col min="11266" max="11266" width="5.5703125" style="25" customWidth="1"/>
    <col min="11267" max="11267" width="19.7109375" style="25" customWidth="1"/>
    <col min="11268" max="11268" width="34.28515625" style="25" customWidth="1"/>
    <col min="11269" max="11270" width="13.5703125" style="25" customWidth="1"/>
    <col min="11271" max="11271" width="38.42578125" style="25" customWidth="1"/>
    <col min="11272" max="11272" width="26.42578125" style="25" customWidth="1"/>
    <col min="11273" max="11273" width="38" style="25" customWidth="1"/>
    <col min="11274" max="11521" width="9.140625" style="25"/>
    <col min="11522" max="11522" width="5.5703125" style="25" customWidth="1"/>
    <col min="11523" max="11523" width="19.7109375" style="25" customWidth="1"/>
    <col min="11524" max="11524" width="34.28515625" style="25" customWidth="1"/>
    <col min="11525" max="11526" width="13.5703125" style="25" customWidth="1"/>
    <col min="11527" max="11527" width="38.42578125" style="25" customWidth="1"/>
    <col min="11528" max="11528" width="26.42578125" style="25" customWidth="1"/>
    <col min="11529" max="11529" width="38" style="25" customWidth="1"/>
    <col min="11530" max="11777" width="9.140625" style="25"/>
    <col min="11778" max="11778" width="5.5703125" style="25" customWidth="1"/>
    <col min="11779" max="11779" width="19.7109375" style="25" customWidth="1"/>
    <col min="11780" max="11780" width="34.28515625" style="25" customWidth="1"/>
    <col min="11781" max="11782" width="13.5703125" style="25" customWidth="1"/>
    <col min="11783" max="11783" width="38.42578125" style="25" customWidth="1"/>
    <col min="11784" max="11784" width="26.42578125" style="25" customWidth="1"/>
    <col min="11785" max="11785" width="38" style="25" customWidth="1"/>
    <col min="11786" max="12033" width="9.140625" style="25"/>
    <col min="12034" max="12034" width="5.5703125" style="25" customWidth="1"/>
    <col min="12035" max="12035" width="19.7109375" style="25" customWidth="1"/>
    <col min="12036" max="12036" width="34.28515625" style="25" customWidth="1"/>
    <col min="12037" max="12038" width="13.5703125" style="25" customWidth="1"/>
    <col min="12039" max="12039" width="38.42578125" style="25" customWidth="1"/>
    <col min="12040" max="12040" width="26.42578125" style="25" customWidth="1"/>
    <col min="12041" max="12041" width="38" style="25" customWidth="1"/>
    <col min="12042" max="12289" width="9.140625" style="25"/>
    <col min="12290" max="12290" width="5.5703125" style="25" customWidth="1"/>
    <col min="12291" max="12291" width="19.7109375" style="25" customWidth="1"/>
    <col min="12292" max="12292" width="34.28515625" style="25" customWidth="1"/>
    <col min="12293" max="12294" width="13.5703125" style="25" customWidth="1"/>
    <col min="12295" max="12295" width="38.42578125" style="25" customWidth="1"/>
    <col min="12296" max="12296" width="26.42578125" style="25" customWidth="1"/>
    <col min="12297" max="12297" width="38" style="25" customWidth="1"/>
    <col min="12298" max="12545" width="9.140625" style="25"/>
    <col min="12546" max="12546" width="5.5703125" style="25" customWidth="1"/>
    <col min="12547" max="12547" width="19.7109375" style="25" customWidth="1"/>
    <col min="12548" max="12548" width="34.28515625" style="25" customWidth="1"/>
    <col min="12549" max="12550" width="13.5703125" style="25" customWidth="1"/>
    <col min="12551" max="12551" width="38.42578125" style="25" customWidth="1"/>
    <col min="12552" max="12552" width="26.42578125" style="25" customWidth="1"/>
    <col min="12553" max="12553" width="38" style="25" customWidth="1"/>
    <col min="12554" max="12801" width="9.140625" style="25"/>
    <col min="12802" max="12802" width="5.5703125" style="25" customWidth="1"/>
    <col min="12803" max="12803" width="19.7109375" style="25" customWidth="1"/>
    <col min="12804" max="12804" width="34.28515625" style="25" customWidth="1"/>
    <col min="12805" max="12806" width="13.5703125" style="25" customWidth="1"/>
    <col min="12807" max="12807" width="38.42578125" style="25" customWidth="1"/>
    <col min="12808" max="12808" width="26.42578125" style="25" customWidth="1"/>
    <col min="12809" max="12809" width="38" style="25" customWidth="1"/>
    <col min="12810" max="13057" width="9.140625" style="25"/>
    <col min="13058" max="13058" width="5.5703125" style="25" customWidth="1"/>
    <col min="13059" max="13059" width="19.7109375" style="25" customWidth="1"/>
    <col min="13060" max="13060" width="34.28515625" style="25" customWidth="1"/>
    <col min="13061" max="13062" width="13.5703125" style="25" customWidth="1"/>
    <col min="13063" max="13063" width="38.42578125" style="25" customWidth="1"/>
    <col min="13064" max="13064" width="26.42578125" style="25" customWidth="1"/>
    <col min="13065" max="13065" width="38" style="25" customWidth="1"/>
    <col min="13066" max="13313" width="9.140625" style="25"/>
    <col min="13314" max="13314" width="5.5703125" style="25" customWidth="1"/>
    <col min="13315" max="13315" width="19.7109375" style="25" customWidth="1"/>
    <col min="13316" max="13316" width="34.28515625" style="25" customWidth="1"/>
    <col min="13317" max="13318" width="13.5703125" style="25" customWidth="1"/>
    <col min="13319" max="13319" width="38.42578125" style="25" customWidth="1"/>
    <col min="13320" max="13320" width="26.42578125" style="25" customWidth="1"/>
    <col min="13321" max="13321" width="38" style="25" customWidth="1"/>
    <col min="13322" max="13569" width="9.140625" style="25"/>
    <col min="13570" max="13570" width="5.5703125" style="25" customWidth="1"/>
    <col min="13571" max="13571" width="19.7109375" style="25" customWidth="1"/>
    <col min="13572" max="13572" width="34.28515625" style="25" customWidth="1"/>
    <col min="13573" max="13574" width="13.5703125" style="25" customWidth="1"/>
    <col min="13575" max="13575" width="38.42578125" style="25" customWidth="1"/>
    <col min="13576" max="13576" width="26.42578125" style="25" customWidth="1"/>
    <col min="13577" max="13577" width="38" style="25" customWidth="1"/>
    <col min="13578" max="13825" width="9.140625" style="25"/>
    <col min="13826" max="13826" width="5.5703125" style="25" customWidth="1"/>
    <col min="13827" max="13827" width="19.7109375" style="25" customWidth="1"/>
    <col min="13828" max="13828" width="34.28515625" style="25" customWidth="1"/>
    <col min="13829" max="13830" width="13.5703125" style="25" customWidth="1"/>
    <col min="13831" max="13831" width="38.42578125" style="25" customWidth="1"/>
    <col min="13832" max="13832" width="26.42578125" style="25" customWidth="1"/>
    <col min="13833" max="13833" width="38" style="25" customWidth="1"/>
    <col min="13834" max="14081" width="9.140625" style="25"/>
    <col min="14082" max="14082" width="5.5703125" style="25" customWidth="1"/>
    <col min="14083" max="14083" width="19.7109375" style="25" customWidth="1"/>
    <col min="14084" max="14084" width="34.28515625" style="25" customWidth="1"/>
    <col min="14085" max="14086" width="13.5703125" style="25" customWidth="1"/>
    <col min="14087" max="14087" width="38.42578125" style="25" customWidth="1"/>
    <col min="14088" max="14088" width="26.42578125" style="25" customWidth="1"/>
    <col min="14089" max="14089" width="38" style="25" customWidth="1"/>
    <col min="14090" max="14337" width="9.140625" style="25"/>
    <col min="14338" max="14338" width="5.5703125" style="25" customWidth="1"/>
    <col min="14339" max="14339" width="19.7109375" style="25" customWidth="1"/>
    <col min="14340" max="14340" width="34.28515625" style="25" customWidth="1"/>
    <col min="14341" max="14342" width="13.5703125" style="25" customWidth="1"/>
    <col min="14343" max="14343" width="38.42578125" style="25" customWidth="1"/>
    <col min="14344" max="14344" width="26.42578125" style="25" customWidth="1"/>
    <col min="14345" max="14345" width="38" style="25" customWidth="1"/>
    <col min="14346" max="14593" width="9.140625" style="25"/>
    <col min="14594" max="14594" width="5.5703125" style="25" customWidth="1"/>
    <col min="14595" max="14595" width="19.7109375" style="25" customWidth="1"/>
    <col min="14596" max="14596" width="34.28515625" style="25" customWidth="1"/>
    <col min="14597" max="14598" width="13.5703125" style="25" customWidth="1"/>
    <col min="14599" max="14599" width="38.42578125" style="25" customWidth="1"/>
    <col min="14600" max="14600" width="26.42578125" style="25" customWidth="1"/>
    <col min="14601" max="14601" width="38" style="25" customWidth="1"/>
    <col min="14602" max="14849" width="9.140625" style="25"/>
    <col min="14850" max="14850" width="5.5703125" style="25" customWidth="1"/>
    <col min="14851" max="14851" width="19.7109375" style="25" customWidth="1"/>
    <col min="14852" max="14852" width="34.28515625" style="25" customWidth="1"/>
    <col min="14853" max="14854" width="13.5703125" style="25" customWidth="1"/>
    <col min="14855" max="14855" width="38.42578125" style="25" customWidth="1"/>
    <col min="14856" max="14856" width="26.42578125" style="25" customWidth="1"/>
    <col min="14857" max="14857" width="38" style="25" customWidth="1"/>
    <col min="14858" max="15105" width="9.140625" style="25"/>
    <col min="15106" max="15106" width="5.5703125" style="25" customWidth="1"/>
    <col min="15107" max="15107" width="19.7109375" style="25" customWidth="1"/>
    <col min="15108" max="15108" width="34.28515625" style="25" customWidth="1"/>
    <col min="15109" max="15110" width="13.5703125" style="25" customWidth="1"/>
    <col min="15111" max="15111" width="38.42578125" style="25" customWidth="1"/>
    <col min="15112" max="15112" width="26.42578125" style="25" customWidth="1"/>
    <col min="15113" max="15113" width="38" style="25" customWidth="1"/>
    <col min="15114" max="15361" width="9.140625" style="25"/>
    <col min="15362" max="15362" width="5.5703125" style="25" customWidth="1"/>
    <col min="15363" max="15363" width="19.7109375" style="25" customWidth="1"/>
    <col min="15364" max="15364" width="34.28515625" style="25" customWidth="1"/>
    <col min="15365" max="15366" width="13.5703125" style="25" customWidth="1"/>
    <col min="15367" max="15367" width="38.42578125" style="25" customWidth="1"/>
    <col min="15368" max="15368" width="26.42578125" style="25" customWidth="1"/>
    <col min="15369" max="15369" width="38" style="25" customWidth="1"/>
    <col min="15370" max="15617" width="9.140625" style="25"/>
    <col min="15618" max="15618" width="5.5703125" style="25" customWidth="1"/>
    <col min="15619" max="15619" width="19.7109375" style="25" customWidth="1"/>
    <col min="15620" max="15620" width="34.28515625" style="25" customWidth="1"/>
    <col min="15621" max="15622" width="13.5703125" style="25" customWidth="1"/>
    <col min="15623" max="15623" width="38.42578125" style="25" customWidth="1"/>
    <col min="15624" max="15624" width="26.42578125" style="25" customWidth="1"/>
    <col min="15625" max="15625" width="38" style="25" customWidth="1"/>
    <col min="15626" max="15873" width="9.140625" style="25"/>
    <col min="15874" max="15874" width="5.5703125" style="25" customWidth="1"/>
    <col min="15875" max="15875" width="19.7109375" style="25" customWidth="1"/>
    <col min="15876" max="15876" width="34.28515625" style="25" customWidth="1"/>
    <col min="15877" max="15878" width="13.5703125" style="25" customWidth="1"/>
    <col min="15879" max="15879" width="38.42578125" style="25" customWidth="1"/>
    <col min="15880" max="15880" width="26.42578125" style="25" customWidth="1"/>
    <col min="15881" max="15881" width="38" style="25" customWidth="1"/>
    <col min="15882" max="16129" width="9.140625" style="25"/>
    <col min="16130" max="16130" width="5.5703125" style="25" customWidth="1"/>
    <col min="16131" max="16131" width="19.7109375" style="25" customWidth="1"/>
    <col min="16132" max="16132" width="34.28515625" style="25" customWidth="1"/>
    <col min="16133" max="16134" width="13.5703125" style="25" customWidth="1"/>
    <col min="16135" max="16135" width="38.42578125" style="25" customWidth="1"/>
    <col min="16136" max="16136" width="26.42578125" style="25" customWidth="1"/>
    <col min="16137" max="16137" width="38" style="25" customWidth="1"/>
    <col min="16138" max="16384" width="9.140625" style="25"/>
  </cols>
  <sheetData>
    <row r="1" spans="1:13" ht="12" thickBot="1" x14ac:dyDescent="0.3">
      <c r="E1" s="25">
        <v>1</v>
      </c>
    </row>
    <row r="2" spans="1:13" ht="43.5" customHeight="1" x14ac:dyDescent="0.25">
      <c r="A2" s="49"/>
      <c r="B2" s="50" t="s">
        <v>42</v>
      </c>
      <c r="C2" s="50" t="s">
        <v>69</v>
      </c>
      <c r="D2" s="121" t="s">
        <v>123</v>
      </c>
      <c r="E2" s="121"/>
      <c r="F2" s="50" t="s">
        <v>45</v>
      </c>
      <c r="G2" s="50"/>
      <c r="H2" s="50"/>
      <c r="I2" s="51"/>
    </row>
    <row r="3" spans="1:13" ht="58.5" customHeight="1" thickBot="1" x14ac:dyDescent="0.3">
      <c r="A3" s="82" t="s">
        <v>46</v>
      </c>
      <c r="B3" s="83" t="s">
        <v>47</v>
      </c>
      <c r="C3" s="83" t="s">
        <v>12</v>
      </c>
      <c r="D3" s="84" t="s">
        <v>48</v>
      </c>
      <c r="E3" s="84" t="s">
        <v>49</v>
      </c>
      <c r="F3" s="83" t="s">
        <v>50</v>
      </c>
      <c r="G3" s="83" t="s">
        <v>120</v>
      </c>
      <c r="H3" s="83" t="s">
        <v>51</v>
      </c>
      <c r="I3" s="85" t="s">
        <v>52</v>
      </c>
      <c r="K3" s="25" t="s">
        <v>107</v>
      </c>
      <c r="M3" s="25" t="s">
        <v>108</v>
      </c>
    </row>
    <row r="4" spans="1:13" ht="23.25" customHeight="1" x14ac:dyDescent="0.25">
      <c r="A4" s="86"/>
      <c r="B4" s="87" t="s">
        <v>124</v>
      </c>
      <c r="C4" s="88" t="s">
        <v>53</v>
      </c>
      <c r="D4" s="89">
        <v>1</v>
      </c>
      <c r="E4" s="89"/>
      <c r="F4" s="87" t="s">
        <v>54</v>
      </c>
      <c r="G4" s="87" t="s">
        <v>121</v>
      </c>
      <c r="H4" s="87"/>
      <c r="I4" s="90"/>
      <c r="K4" s="43"/>
      <c r="M4" s="43" t="s">
        <v>17</v>
      </c>
    </row>
    <row r="5" spans="1:13" ht="15" customHeight="1" x14ac:dyDescent="0.25">
      <c r="A5" s="91"/>
      <c r="B5" s="78" t="s">
        <v>125</v>
      </c>
      <c r="C5" s="79" t="s">
        <v>109</v>
      </c>
      <c r="D5" s="52">
        <v>1</v>
      </c>
      <c r="E5" s="52"/>
      <c r="F5" s="78" t="s">
        <v>54</v>
      </c>
      <c r="G5" s="78" t="s">
        <v>121</v>
      </c>
      <c r="H5" s="78"/>
      <c r="I5" s="92"/>
      <c r="K5" s="43"/>
      <c r="M5" s="55" t="s">
        <v>106</v>
      </c>
    </row>
    <row r="6" spans="1:13" ht="15" customHeight="1" x14ac:dyDescent="0.25">
      <c r="A6" s="91"/>
      <c r="B6" s="78" t="s">
        <v>126</v>
      </c>
      <c r="C6" s="80" t="s">
        <v>25</v>
      </c>
      <c r="D6" s="81">
        <v>1</v>
      </c>
      <c r="E6" s="81"/>
      <c r="F6" s="81" t="s">
        <v>55</v>
      </c>
      <c r="G6" s="78" t="s">
        <v>121</v>
      </c>
      <c r="H6" s="81"/>
      <c r="I6" s="93"/>
      <c r="K6" s="46"/>
    </row>
    <row r="7" spans="1:13" ht="15" customHeight="1" x14ac:dyDescent="0.25">
      <c r="A7" s="91"/>
      <c r="B7" s="78" t="s">
        <v>127</v>
      </c>
      <c r="C7" s="80" t="s">
        <v>40</v>
      </c>
      <c r="D7" s="81">
        <v>1</v>
      </c>
      <c r="E7" s="81"/>
      <c r="F7" s="81" t="s">
        <v>55</v>
      </c>
      <c r="G7" s="78" t="s">
        <v>121</v>
      </c>
      <c r="H7" s="81"/>
      <c r="I7" s="93"/>
      <c r="K7" s="46"/>
    </row>
    <row r="8" spans="1:13" ht="15" customHeight="1" x14ac:dyDescent="0.25">
      <c r="A8" s="91"/>
      <c r="B8" s="78" t="s">
        <v>128</v>
      </c>
      <c r="C8" s="80" t="s">
        <v>56</v>
      </c>
      <c r="D8" s="81">
        <v>1</v>
      </c>
      <c r="E8" s="81"/>
      <c r="F8" s="81" t="s">
        <v>55</v>
      </c>
      <c r="G8" s="78" t="s">
        <v>121</v>
      </c>
      <c r="H8" s="81"/>
      <c r="I8" s="93"/>
      <c r="K8" s="46"/>
    </row>
    <row r="9" spans="1:13" ht="15" customHeight="1" x14ac:dyDescent="0.25">
      <c r="A9" s="91"/>
      <c r="B9" s="78" t="s">
        <v>129</v>
      </c>
      <c r="C9" s="80" t="s">
        <v>57</v>
      </c>
      <c r="D9" s="81">
        <v>1</v>
      </c>
      <c r="E9" s="81"/>
      <c r="F9" s="81" t="s">
        <v>55</v>
      </c>
      <c r="G9" s="78" t="s">
        <v>121</v>
      </c>
      <c r="H9" s="81"/>
      <c r="I9" s="93"/>
      <c r="K9" s="46"/>
    </row>
    <row r="10" spans="1:13" ht="15" customHeight="1" x14ac:dyDescent="0.25">
      <c r="A10" s="91"/>
      <c r="B10" s="78" t="s">
        <v>130</v>
      </c>
      <c r="C10" s="80" t="s">
        <v>68</v>
      </c>
      <c r="D10" s="81">
        <v>4</v>
      </c>
      <c r="E10" s="81"/>
      <c r="F10" s="81" t="s">
        <v>55</v>
      </c>
      <c r="G10" s="78" t="s">
        <v>121</v>
      </c>
      <c r="H10" s="81"/>
      <c r="I10" s="93"/>
      <c r="K10" s="46"/>
    </row>
    <row r="11" spans="1:13" ht="15" customHeight="1" x14ac:dyDescent="0.25">
      <c r="A11" s="91"/>
      <c r="B11" s="81" t="s">
        <v>131</v>
      </c>
      <c r="C11" s="80" t="s">
        <v>110</v>
      </c>
      <c r="D11" s="81">
        <v>4</v>
      </c>
      <c r="E11" s="81"/>
      <c r="F11" s="81" t="s">
        <v>55</v>
      </c>
      <c r="G11" s="78" t="s">
        <v>121</v>
      </c>
      <c r="H11" s="81"/>
      <c r="I11" s="93"/>
      <c r="K11" s="46"/>
    </row>
    <row r="12" spans="1:13" ht="15" customHeight="1" x14ac:dyDescent="0.25">
      <c r="A12" s="91"/>
      <c r="B12" s="78" t="s">
        <v>23</v>
      </c>
      <c r="C12" s="79" t="s">
        <v>70</v>
      </c>
      <c r="D12" s="52">
        <v>9</v>
      </c>
      <c r="E12" s="52"/>
      <c r="F12" s="78" t="s">
        <v>87</v>
      </c>
      <c r="G12" s="78" t="s">
        <v>121</v>
      </c>
      <c r="H12" s="81"/>
      <c r="I12" s="93"/>
      <c r="K12" s="46"/>
    </row>
    <row r="13" spans="1:13" ht="15" customHeight="1" x14ac:dyDescent="0.25">
      <c r="A13" s="91"/>
      <c r="B13" s="78" t="s">
        <v>132</v>
      </c>
      <c r="C13" s="79" t="s">
        <v>58</v>
      </c>
      <c r="D13" s="52">
        <v>1</v>
      </c>
      <c r="E13" s="52"/>
      <c r="F13" s="78" t="s">
        <v>54</v>
      </c>
      <c r="G13" s="78" t="s">
        <v>121</v>
      </c>
      <c r="H13" s="81"/>
      <c r="I13" s="93"/>
      <c r="K13" s="48"/>
    </row>
    <row r="14" spans="1:13" ht="15" customHeight="1" x14ac:dyDescent="0.25">
      <c r="A14" s="91"/>
      <c r="B14" s="78" t="s">
        <v>133</v>
      </c>
      <c r="C14" s="79" t="s">
        <v>59</v>
      </c>
      <c r="D14" s="52">
        <v>1</v>
      </c>
      <c r="E14" s="52"/>
      <c r="F14" s="78" t="s">
        <v>54</v>
      </c>
      <c r="G14" s="78" t="s">
        <v>121</v>
      </c>
      <c r="H14" s="81"/>
      <c r="I14" s="93"/>
      <c r="K14" s="48"/>
    </row>
    <row r="15" spans="1:13" ht="15" customHeight="1" x14ac:dyDescent="0.25">
      <c r="A15" s="91"/>
      <c r="B15" s="78" t="s">
        <v>134</v>
      </c>
      <c r="C15" s="80" t="s">
        <v>71</v>
      </c>
      <c r="D15" s="81">
        <v>1</v>
      </c>
      <c r="E15" s="81"/>
      <c r="F15" s="81" t="s">
        <v>55</v>
      </c>
      <c r="G15" s="78" t="s">
        <v>121</v>
      </c>
      <c r="H15" s="81"/>
      <c r="I15" s="93"/>
      <c r="K15" s="46"/>
    </row>
    <row r="16" spans="1:13" ht="15" customHeight="1" x14ac:dyDescent="0.25">
      <c r="A16" s="91"/>
      <c r="B16" s="78" t="s">
        <v>135</v>
      </c>
      <c r="C16" s="80" t="s">
        <v>111</v>
      </c>
      <c r="D16" s="81">
        <v>1</v>
      </c>
      <c r="E16" s="81"/>
      <c r="F16" s="81" t="s">
        <v>55</v>
      </c>
      <c r="G16" s="78" t="s">
        <v>121</v>
      </c>
      <c r="H16" s="81"/>
      <c r="I16" s="93"/>
      <c r="K16" s="46"/>
    </row>
    <row r="17" spans="1:11" ht="15" customHeight="1" x14ac:dyDescent="0.25">
      <c r="A17" s="91"/>
      <c r="B17" s="78" t="s">
        <v>23</v>
      </c>
      <c r="C17" s="80" t="s">
        <v>72</v>
      </c>
      <c r="D17" s="81">
        <v>4</v>
      </c>
      <c r="E17" s="81"/>
      <c r="F17" s="81" t="s">
        <v>87</v>
      </c>
      <c r="G17" s="78" t="s">
        <v>121</v>
      </c>
      <c r="H17" s="81"/>
      <c r="I17" s="93"/>
      <c r="K17" s="46"/>
    </row>
    <row r="18" spans="1:11" ht="15" customHeight="1" x14ac:dyDescent="0.25">
      <c r="A18" s="91"/>
      <c r="B18" s="78" t="s">
        <v>23</v>
      </c>
      <c r="C18" s="80" t="s">
        <v>73</v>
      </c>
      <c r="D18" s="81">
        <v>2</v>
      </c>
      <c r="E18" s="81"/>
      <c r="F18" s="81" t="s">
        <v>87</v>
      </c>
      <c r="G18" s="78" t="s">
        <v>121</v>
      </c>
      <c r="H18" s="81"/>
      <c r="I18" s="93"/>
      <c r="K18" s="46"/>
    </row>
    <row r="19" spans="1:11" ht="15" customHeight="1" x14ac:dyDescent="0.25">
      <c r="A19" s="91"/>
      <c r="B19" s="78" t="s">
        <v>23</v>
      </c>
      <c r="C19" s="80" t="s">
        <v>74</v>
      </c>
      <c r="D19" s="81">
        <v>2</v>
      </c>
      <c r="E19" s="81"/>
      <c r="F19" s="81" t="s">
        <v>87</v>
      </c>
      <c r="G19" s="78" t="s">
        <v>121</v>
      </c>
      <c r="H19" s="81"/>
      <c r="I19" s="93"/>
      <c r="K19" s="46"/>
    </row>
    <row r="20" spans="1:11" ht="15" customHeight="1" x14ac:dyDescent="0.25">
      <c r="A20" s="91"/>
      <c r="B20" s="78" t="s">
        <v>23</v>
      </c>
      <c r="C20" s="80" t="s">
        <v>75</v>
      </c>
      <c r="D20" s="81">
        <v>2</v>
      </c>
      <c r="E20" s="81"/>
      <c r="F20" s="81" t="s">
        <v>87</v>
      </c>
      <c r="G20" s="78" t="s">
        <v>121</v>
      </c>
      <c r="H20" s="81"/>
      <c r="I20" s="93"/>
      <c r="K20" s="46"/>
    </row>
    <row r="21" spans="1:11" ht="15" customHeight="1" x14ac:dyDescent="0.25">
      <c r="A21" s="91"/>
      <c r="B21" s="78" t="s">
        <v>136</v>
      </c>
      <c r="C21" s="79" t="s">
        <v>112</v>
      </c>
      <c r="D21" s="52">
        <v>1</v>
      </c>
      <c r="E21" s="52"/>
      <c r="F21" s="78" t="s">
        <v>54</v>
      </c>
      <c r="G21" s="78" t="s">
        <v>121</v>
      </c>
      <c r="H21" s="81"/>
      <c r="I21" s="93"/>
      <c r="K21" s="48"/>
    </row>
    <row r="22" spans="1:11" ht="15" customHeight="1" x14ac:dyDescent="0.25">
      <c r="A22" s="91"/>
      <c r="B22" s="78" t="s">
        <v>137</v>
      </c>
      <c r="C22" s="79" t="s">
        <v>76</v>
      </c>
      <c r="D22" s="52">
        <v>1</v>
      </c>
      <c r="E22" s="52"/>
      <c r="F22" s="78" t="s">
        <v>54</v>
      </c>
      <c r="G22" s="78" t="s">
        <v>121</v>
      </c>
      <c r="H22" s="81"/>
      <c r="I22" s="93"/>
      <c r="K22" s="48"/>
    </row>
    <row r="23" spans="1:11" ht="15" customHeight="1" x14ac:dyDescent="0.25">
      <c r="A23" s="91"/>
      <c r="B23" s="78" t="s">
        <v>23</v>
      </c>
      <c r="C23" s="80" t="s">
        <v>78</v>
      </c>
      <c r="D23" s="81">
        <v>1</v>
      </c>
      <c r="E23" s="81"/>
      <c r="F23" s="81" t="s">
        <v>88</v>
      </c>
      <c r="G23" s="78" t="s">
        <v>121</v>
      </c>
      <c r="H23" s="81"/>
      <c r="I23" s="93"/>
      <c r="K23" s="48"/>
    </row>
    <row r="24" spans="1:11" ht="15" customHeight="1" x14ac:dyDescent="0.25">
      <c r="A24" s="91"/>
      <c r="B24" s="78" t="s">
        <v>138</v>
      </c>
      <c r="C24" s="80" t="s">
        <v>77</v>
      </c>
      <c r="D24" s="81">
        <v>1</v>
      </c>
      <c r="E24" s="81"/>
      <c r="F24" s="81" t="s">
        <v>55</v>
      </c>
      <c r="G24" s="78" t="s">
        <v>121</v>
      </c>
      <c r="H24" s="81"/>
      <c r="I24" s="93"/>
      <c r="K24" s="46"/>
    </row>
    <row r="25" spans="1:11" ht="15" customHeight="1" x14ac:dyDescent="0.25">
      <c r="A25" s="91"/>
      <c r="B25" s="78" t="s">
        <v>23</v>
      </c>
      <c r="C25" s="80" t="s">
        <v>79</v>
      </c>
      <c r="D25" s="81">
        <v>4</v>
      </c>
      <c r="E25" s="81"/>
      <c r="F25" s="81" t="s">
        <v>87</v>
      </c>
      <c r="G25" s="78" t="s">
        <v>121</v>
      </c>
      <c r="H25" s="81"/>
      <c r="I25" s="93"/>
      <c r="K25" s="46"/>
    </row>
    <row r="26" spans="1:11" ht="15" customHeight="1" x14ac:dyDescent="0.25">
      <c r="A26" s="91"/>
      <c r="B26" s="78" t="s">
        <v>139</v>
      </c>
      <c r="C26" s="80" t="s">
        <v>90</v>
      </c>
      <c r="D26" s="81">
        <v>2</v>
      </c>
      <c r="E26" s="81"/>
      <c r="F26" s="81" t="s">
        <v>55</v>
      </c>
      <c r="G26" s="78" t="s">
        <v>121</v>
      </c>
      <c r="H26" s="81"/>
      <c r="I26" s="93"/>
      <c r="K26" s="55"/>
    </row>
    <row r="27" spans="1:11" ht="15" customHeight="1" x14ac:dyDescent="0.25">
      <c r="A27" s="91"/>
      <c r="B27" s="78" t="s">
        <v>23</v>
      </c>
      <c r="C27" s="80" t="s">
        <v>73</v>
      </c>
      <c r="D27" s="81">
        <v>2</v>
      </c>
      <c r="E27" s="81"/>
      <c r="F27" s="81" t="s">
        <v>87</v>
      </c>
      <c r="G27" s="78" t="s">
        <v>121</v>
      </c>
      <c r="H27" s="81"/>
      <c r="I27" s="93"/>
      <c r="K27" s="46"/>
    </row>
    <row r="28" spans="1:11" ht="15" customHeight="1" x14ac:dyDescent="0.25">
      <c r="A28" s="91"/>
      <c r="B28" s="78" t="s">
        <v>23</v>
      </c>
      <c r="C28" s="80" t="s">
        <v>74</v>
      </c>
      <c r="D28" s="81">
        <v>2</v>
      </c>
      <c r="E28" s="81"/>
      <c r="F28" s="81" t="s">
        <v>87</v>
      </c>
      <c r="G28" s="78" t="s">
        <v>121</v>
      </c>
      <c r="H28" s="81"/>
      <c r="I28" s="93"/>
      <c r="K28" s="46"/>
    </row>
    <row r="29" spans="1:11" ht="15" customHeight="1" x14ac:dyDescent="0.25">
      <c r="A29" s="91"/>
      <c r="B29" s="78" t="s">
        <v>23</v>
      </c>
      <c r="C29" s="80" t="s">
        <v>75</v>
      </c>
      <c r="D29" s="81">
        <v>2</v>
      </c>
      <c r="E29" s="81"/>
      <c r="F29" s="81" t="s">
        <v>87</v>
      </c>
      <c r="G29" s="78" t="s">
        <v>121</v>
      </c>
      <c r="H29" s="81"/>
      <c r="I29" s="93"/>
      <c r="K29" s="46"/>
    </row>
    <row r="30" spans="1:11" ht="15" customHeight="1" x14ac:dyDescent="0.25">
      <c r="A30" s="91"/>
      <c r="B30" s="78" t="s">
        <v>23</v>
      </c>
      <c r="C30" s="80" t="s">
        <v>79</v>
      </c>
      <c r="D30" s="81">
        <v>2</v>
      </c>
      <c r="E30" s="81"/>
      <c r="F30" s="81" t="s">
        <v>87</v>
      </c>
      <c r="G30" s="78" t="s">
        <v>121</v>
      </c>
      <c r="H30" s="81"/>
      <c r="I30" s="93"/>
      <c r="K30" s="46"/>
    </row>
    <row r="31" spans="1:11" ht="15" customHeight="1" x14ac:dyDescent="0.25">
      <c r="A31" s="91"/>
      <c r="B31" s="78" t="s">
        <v>140</v>
      </c>
      <c r="C31" s="79" t="s">
        <v>67</v>
      </c>
      <c r="D31" s="52">
        <v>1</v>
      </c>
      <c r="E31" s="52"/>
      <c r="F31" s="78" t="s">
        <v>54</v>
      </c>
      <c r="G31" s="78" t="s">
        <v>121</v>
      </c>
      <c r="H31" s="81"/>
      <c r="I31" s="93"/>
      <c r="K31" s="48"/>
    </row>
    <row r="32" spans="1:11" ht="15" customHeight="1" x14ac:dyDescent="0.25">
      <c r="A32" s="91"/>
      <c r="B32" s="78" t="s">
        <v>141</v>
      </c>
      <c r="C32" s="79" t="s">
        <v>82</v>
      </c>
      <c r="D32" s="52">
        <v>1</v>
      </c>
      <c r="E32" s="52"/>
      <c r="F32" s="78" t="s">
        <v>54</v>
      </c>
      <c r="G32" s="78" t="s">
        <v>121</v>
      </c>
      <c r="H32" s="81"/>
      <c r="I32" s="93"/>
      <c r="K32" s="48"/>
    </row>
    <row r="33" spans="1:11" ht="15" customHeight="1" x14ac:dyDescent="0.25">
      <c r="A33" s="91"/>
      <c r="B33" s="81" t="s">
        <v>142</v>
      </c>
      <c r="C33" s="80" t="s">
        <v>59</v>
      </c>
      <c r="D33" s="81">
        <v>1</v>
      </c>
      <c r="E33" s="81"/>
      <c r="F33" s="81" t="s">
        <v>55</v>
      </c>
      <c r="G33" s="78" t="s">
        <v>121</v>
      </c>
      <c r="H33" s="81"/>
      <c r="I33" s="93"/>
      <c r="K33" s="46"/>
    </row>
    <row r="34" spans="1:11" ht="15" customHeight="1" x14ac:dyDescent="0.25">
      <c r="A34" s="91"/>
      <c r="B34" s="81" t="s">
        <v>23</v>
      </c>
      <c r="C34" s="80" t="s">
        <v>83</v>
      </c>
      <c r="D34" s="81">
        <v>7</v>
      </c>
      <c r="E34" s="81"/>
      <c r="F34" s="81" t="s">
        <v>87</v>
      </c>
      <c r="G34" s="78" t="s">
        <v>121</v>
      </c>
      <c r="H34" s="81"/>
      <c r="I34" s="93"/>
      <c r="K34" s="46"/>
    </row>
    <row r="35" spans="1:11" ht="15" customHeight="1" x14ac:dyDescent="0.25">
      <c r="A35" s="91"/>
      <c r="B35" s="78" t="s">
        <v>23</v>
      </c>
      <c r="C35" s="79" t="s">
        <v>84</v>
      </c>
      <c r="D35" s="52">
        <v>2</v>
      </c>
      <c r="E35" s="52"/>
      <c r="F35" s="78" t="s">
        <v>88</v>
      </c>
      <c r="G35" s="78" t="s">
        <v>121</v>
      </c>
      <c r="H35" s="81"/>
      <c r="I35" s="93"/>
      <c r="K35" s="48"/>
    </row>
    <row r="36" spans="1:11" ht="15" customHeight="1" x14ac:dyDescent="0.25">
      <c r="A36" s="91"/>
      <c r="B36" s="81" t="s">
        <v>143</v>
      </c>
      <c r="C36" s="80" t="s">
        <v>111</v>
      </c>
      <c r="D36" s="81">
        <v>1</v>
      </c>
      <c r="E36" s="81"/>
      <c r="F36" s="81" t="s">
        <v>55</v>
      </c>
      <c r="G36" s="78" t="s">
        <v>121</v>
      </c>
      <c r="H36" s="81"/>
      <c r="I36" s="93"/>
      <c r="K36" s="55"/>
    </row>
    <row r="37" spans="1:11" ht="15" customHeight="1" x14ac:dyDescent="0.25">
      <c r="A37" s="91"/>
      <c r="B37" s="81" t="s">
        <v>144</v>
      </c>
      <c r="C37" s="80" t="s">
        <v>113</v>
      </c>
      <c r="D37" s="81">
        <v>1</v>
      </c>
      <c r="E37" s="81"/>
      <c r="F37" s="81" t="s">
        <v>55</v>
      </c>
      <c r="G37" s="78" t="s">
        <v>121</v>
      </c>
      <c r="H37" s="81"/>
      <c r="I37" s="93"/>
      <c r="K37" s="46"/>
    </row>
    <row r="38" spans="1:11" ht="15" customHeight="1" x14ac:dyDescent="0.25">
      <c r="A38" s="91"/>
      <c r="B38" s="81" t="s">
        <v>145</v>
      </c>
      <c r="C38" s="80" t="s">
        <v>114</v>
      </c>
      <c r="D38" s="81">
        <v>1</v>
      </c>
      <c r="E38" s="81"/>
      <c r="F38" s="81" t="s">
        <v>55</v>
      </c>
      <c r="G38" s="78" t="s">
        <v>121</v>
      </c>
      <c r="H38" s="81"/>
      <c r="I38" s="93"/>
      <c r="K38" s="46"/>
    </row>
    <row r="39" spans="1:11" ht="15" customHeight="1" x14ac:dyDescent="0.25">
      <c r="A39" s="91"/>
      <c r="B39" s="81" t="s">
        <v>146</v>
      </c>
      <c r="C39" s="80" t="s">
        <v>116</v>
      </c>
      <c r="D39" s="81">
        <v>1</v>
      </c>
      <c r="E39" s="81"/>
      <c r="F39" s="81" t="s">
        <v>55</v>
      </c>
      <c r="G39" s="78" t="s">
        <v>121</v>
      </c>
      <c r="H39" s="81"/>
      <c r="I39" s="93"/>
      <c r="K39" s="46"/>
    </row>
    <row r="40" spans="1:11" ht="15" customHeight="1" x14ac:dyDescent="0.25">
      <c r="A40" s="91"/>
      <c r="B40" s="81" t="s">
        <v>147</v>
      </c>
      <c r="C40" s="80" t="s">
        <v>115</v>
      </c>
      <c r="D40" s="81">
        <v>1</v>
      </c>
      <c r="E40" s="81"/>
      <c r="F40" s="81" t="s">
        <v>55</v>
      </c>
      <c r="G40" s="78" t="s">
        <v>121</v>
      </c>
      <c r="H40" s="81"/>
      <c r="I40" s="93"/>
      <c r="K40" s="46"/>
    </row>
    <row r="41" spans="1:11" ht="15" customHeight="1" x14ac:dyDescent="0.25">
      <c r="A41" s="91"/>
      <c r="B41" s="81" t="s">
        <v>148</v>
      </c>
      <c r="C41" s="80" t="s">
        <v>81</v>
      </c>
      <c r="D41" s="81">
        <v>2</v>
      </c>
      <c r="E41" s="81"/>
      <c r="F41" s="81" t="s">
        <v>55</v>
      </c>
      <c r="G41" s="78" t="s">
        <v>121</v>
      </c>
      <c r="H41" s="81"/>
      <c r="I41" s="93"/>
      <c r="K41" s="46"/>
    </row>
    <row r="42" spans="1:11" ht="15" customHeight="1" x14ac:dyDescent="0.25">
      <c r="A42" s="91"/>
      <c r="B42" s="81" t="s">
        <v>149</v>
      </c>
      <c r="C42" s="80" t="s">
        <v>117</v>
      </c>
      <c r="D42" s="81">
        <v>1</v>
      </c>
      <c r="E42" s="81"/>
      <c r="F42" s="81" t="s">
        <v>55</v>
      </c>
      <c r="G42" s="78" t="s">
        <v>121</v>
      </c>
      <c r="H42" s="81"/>
      <c r="I42" s="93"/>
      <c r="K42" s="46"/>
    </row>
    <row r="43" spans="1:11" ht="15" customHeight="1" x14ac:dyDescent="0.25">
      <c r="A43" s="91"/>
      <c r="B43" s="81" t="s">
        <v>150</v>
      </c>
      <c r="C43" s="80" t="s">
        <v>80</v>
      </c>
      <c r="D43" s="81">
        <v>2</v>
      </c>
      <c r="E43" s="81"/>
      <c r="F43" s="81" t="s">
        <v>55</v>
      </c>
      <c r="G43" s="78" t="s">
        <v>121</v>
      </c>
      <c r="H43" s="81"/>
      <c r="I43" s="93"/>
      <c r="K43" s="46"/>
    </row>
    <row r="44" spans="1:11" ht="15" customHeight="1" x14ac:dyDescent="0.25">
      <c r="A44" s="91"/>
      <c r="B44" s="81" t="s">
        <v>151</v>
      </c>
      <c r="C44" s="79" t="s">
        <v>85</v>
      </c>
      <c r="D44" s="52">
        <v>1</v>
      </c>
      <c r="E44" s="52"/>
      <c r="F44" s="81" t="s">
        <v>55</v>
      </c>
      <c r="G44" s="78" t="s">
        <v>121</v>
      </c>
      <c r="H44" s="78"/>
      <c r="I44" s="92"/>
      <c r="K44" s="44"/>
    </row>
    <row r="45" spans="1:11" ht="15" customHeight="1" x14ac:dyDescent="0.25">
      <c r="A45" s="91"/>
      <c r="B45" s="81" t="s">
        <v>152</v>
      </c>
      <c r="C45" s="80" t="s">
        <v>118</v>
      </c>
      <c r="D45" s="81">
        <v>2</v>
      </c>
      <c r="E45" s="81"/>
      <c r="F45" s="81" t="s">
        <v>55</v>
      </c>
      <c r="G45" s="78" t="s">
        <v>121</v>
      </c>
      <c r="H45" s="81"/>
      <c r="I45" s="93"/>
      <c r="K45" s="46"/>
    </row>
    <row r="46" spans="1:11" ht="15" customHeight="1" x14ac:dyDescent="0.25">
      <c r="A46" s="91"/>
      <c r="B46" s="81" t="s">
        <v>153</v>
      </c>
      <c r="C46" s="80" t="s">
        <v>119</v>
      </c>
      <c r="D46" s="52">
        <v>2</v>
      </c>
      <c r="E46" s="52"/>
      <c r="F46" s="81" t="s">
        <v>55</v>
      </c>
      <c r="G46" s="78" t="s">
        <v>121</v>
      </c>
      <c r="H46" s="81"/>
      <c r="I46" s="92"/>
      <c r="K46" s="44"/>
    </row>
    <row r="47" spans="1:11" ht="15" customHeight="1" x14ac:dyDescent="0.25">
      <c r="A47" s="91"/>
      <c r="B47" s="81" t="s">
        <v>23</v>
      </c>
      <c r="C47" s="79" t="s">
        <v>86</v>
      </c>
      <c r="D47" s="52">
        <v>4</v>
      </c>
      <c r="E47" s="52"/>
      <c r="F47" s="81" t="s">
        <v>87</v>
      </c>
      <c r="G47" s="78" t="s">
        <v>121</v>
      </c>
      <c r="H47" s="78"/>
      <c r="I47" s="93"/>
      <c r="K47" s="46"/>
    </row>
    <row r="48" spans="1:11" ht="15" customHeight="1" x14ac:dyDescent="0.25">
      <c r="A48" s="91"/>
      <c r="B48" s="81" t="s">
        <v>23</v>
      </c>
      <c r="C48" s="79" t="s">
        <v>89</v>
      </c>
      <c r="D48" s="52">
        <v>7</v>
      </c>
      <c r="E48" s="52"/>
      <c r="F48" s="81" t="s">
        <v>87</v>
      </c>
      <c r="G48" s="78" t="s">
        <v>121</v>
      </c>
      <c r="H48" s="78"/>
      <c r="I48" s="92"/>
      <c r="K48" s="44"/>
    </row>
    <row r="49" spans="1:11" ht="15" customHeight="1" x14ac:dyDescent="0.25">
      <c r="A49" s="91"/>
      <c r="B49" s="78" t="s">
        <v>154</v>
      </c>
      <c r="C49" s="79" t="s">
        <v>26</v>
      </c>
      <c r="D49" s="52">
        <v>1</v>
      </c>
      <c r="E49" s="52"/>
      <c r="F49" s="78" t="s">
        <v>54</v>
      </c>
      <c r="G49" s="78" t="s">
        <v>122</v>
      </c>
      <c r="H49" s="81"/>
      <c r="I49" s="92"/>
      <c r="K49" s="43"/>
    </row>
    <row r="50" spans="1:11" ht="15" customHeight="1" x14ac:dyDescent="0.25">
      <c r="A50" s="91"/>
      <c r="B50" s="78" t="s">
        <v>155</v>
      </c>
      <c r="C50" s="79" t="s">
        <v>91</v>
      </c>
      <c r="D50" s="52">
        <v>1</v>
      </c>
      <c r="E50" s="52"/>
      <c r="F50" s="78" t="s">
        <v>88</v>
      </c>
      <c r="G50" s="78" t="s">
        <v>122</v>
      </c>
      <c r="H50" s="81"/>
      <c r="I50" s="92"/>
      <c r="K50" s="43"/>
    </row>
    <row r="51" spans="1:11" ht="15" customHeight="1" x14ac:dyDescent="0.25">
      <c r="A51" s="91"/>
      <c r="B51" s="81" t="s">
        <v>156</v>
      </c>
      <c r="C51" s="80" t="s">
        <v>92</v>
      </c>
      <c r="D51" s="81">
        <v>1</v>
      </c>
      <c r="E51" s="81"/>
      <c r="F51" s="81" t="s">
        <v>55</v>
      </c>
      <c r="G51" s="78" t="s">
        <v>122</v>
      </c>
      <c r="H51" s="81"/>
      <c r="I51" s="92"/>
      <c r="K51" s="44"/>
    </row>
    <row r="52" spans="1:11" ht="15" customHeight="1" x14ac:dyDescent="0.25">
      <c r="A52" s="91"/>
      <c r="B52" s="78" t="s">
        <v>23</v>
      </c>
      <c r="C52" s="79" t="s">
        <v>70</v>
      </c>
      <c r="D52" s="52">
        <v>4</v>
      </c>
      <c r="E52" s="52"/>
      <c r="F52" s="78" t="s">
        <v>87</v>
      </c>
      <c r="G52" s="78" t="s">
        <v>122</v>
      </c>
      <c r="H52" s="81"/>
      <c r="I52" s="92"/>
      <c r="K52" s="44"/>
    </row>
    <row r="53" spans="1:11" ht="15" customHeight="1" x14ac:dyDescent="0.25">
      <c r="A53" s="91"/>
      <c r="B53" s="78" t="s">
        <v>23</v>
      </c>
      <c r="C53" s="80" t="s">
        <v>93</v>
      </c>
      <c r="D53" s="81">
        <v>4</v>
      </c>
      <c r="E53" s="81"/>
      <c r="F53" s="78" t="s">
        <v>87</v>
      </c>
      <c r="G53" s="78" t="s">
        <v>122</v>
      </c>
      <c r="H53" s="81"/>
      <c r="I53" s="92"/>
      <c r="K53" s="44"/>
    </row>
    <row r="54" spans="1:11" ht="15" customHeight="1" x14ac:dyDescent="0.25">
      <c r="A54" s="91"/>
      <c r="B54" s="78" t="s">
        <v>157</v>
      </c>
      <c r="C54" s="79" t="s">
        <v>95</v>
      </c>
      <c r="D54" s="52">
        <v>1</v>
      </c>
      <c r="E54" s="52"/>
      <c r="F54" s="78" t="s">
        <v>54</v>
      </c>
      <c r="G54" s="78" t="s">
        <v>122</v>
      </c>
      <c r="H54" s="81"/>
      <c r="I54" s="92"/>
      <c r="K54" s="43"/>
    </row>
    <row r="55" spans="1:11" ht="15" customHeight="1" x14ac:dyDescent="0.25">
      <c r="A55" s="91"/>
      <c r="B55" s="78" t="s">
        <v>158</v>
      </c>
      <c r="C55" s="80" t="s">
        <v>94</v>
      </c>
      <c r="D55" s="81">
        <v>1</v>
      </c>
      <c r="E55" s="81"/>
      <c r="F55" s="78" t="s">
        <v>55</v>
      </c>
      <c r="G55" s="78" t="s">
        <v>122</v>
      </c>
      <c r="H55" s="81"/>
      <c r="I55" s="92"/>
      <c r="K55" s="44"/>
    </row>
    <row r="56" spans="1:11" ht="15" customHeight="1" x14ac:dyDescent="0.25">
      <c r="A56" s="91"/>
      <c r="B56" s="78" t="s">
        <v>23</v>
      </c>
      <c r="C56" s="80" t="s">
        <v>97</v>
      </c>
      <c r="D56" s="81">
        <v>2</v>
      </c>
      <c r="E56" s="81"/>
      <c r="F56" s="78" t="s">
        <v>87</v>
      </c>
      <c r="G56" s="78" t="s">
        <v>122</v>
      </c>
      <c r="H56" s="81"/>
      <c r="I56" s="92"/>
      <c r="K56" s="44"/>
    </row>
    <row r="57" spans="1:11" ht="15" customHeight="1" x14ac:dyDescent="0.25">
      <c r="A57" s="91"/>
      <c r="B57" s="78" t="s">
        <v>23</v>
      </c>
      <c r="C57" s="80" t="s">
        <v>96</v>
      </c>
      <c r="D57" s="81">
        <v>2</v>
      </c>
      <c r="E57" s="81"/>
      <c r="F57" s="78" t="s">
        <v>87</v>
      </c>
      <c r="G57" s="78" t="s">
        <v>122</v>
      </c>
      <c r="H57" s="81"/>
      <c r="I57" s="92"/>
      <c r="K57" s="44"/>
    </row>
    <row r="58" spans="1:11" ht="15" customHeight="1" x14ac:dyDescent="0.25">
      <c r="A58" s="91"/>
      <c r="B58" s="78" t="s">
        <v>23</v>
      </c>
      <c r="C58" s="80" t="s">
        <v>98</v>
      </c>
      <c r="D58" s="81">
        <v>2</v>
      </c>
      <c r="E58" s="81"/>
      <c r="F58" s="78" t="s">
        <v>87</v>
      </c>
      <c r="G58" s="78" t="s">
        <v>122</v>
      </c>
      <c r="H58" s="81"/>
      <c r="I58" s="92"/>
      <c r="K58" s="44"/>
    </row>
    <row r="59" spans="1:11" ht="15" customHeight="1" x14ac:dyDescent="0.25">
      <c r="A59" s="91"/>
      <c r="B59" s="78" t="s">
        <v>159</v>
      </c>
      <c r="C59" s="79" t="s">
        <v>99</v>
      </c>
      <c r="D59" s="52">
        <v>1</v>
      </c>
      <c r="E59" s="52"/>
      <c r="F59" s="78" t="s">
        <v>54</v>
      </c>
      <c r="G59" s="78" t="s">
        <v>122</v>
      </c>
      <c r="H59" s="81"/>
      <c r="I59" s="92"/>
      <c r="K59" s="43"/>
    </row>
    <row r="60" spans="1:11" ht="15" customHeight="1" x14ac:dyDescent="0.25">
      <c r="A60" s="91"/>
      <c r="B60" s="78" t="s">
        <v>160</v>
      </c>
      <c r="C60" s="79" t="s">
        <v>102</v>
      </c>
      <c r="D60" s="52">
        <v>1</v>
      </c>
      <c r="E60" s="52"/>
      <c r="F60" s="78" t="s">
        <v>88</v>
      </c>
      <c r="G60" s="78" t="s">
        <v>122</v>
      </c>
      <c r="H60" s="78"/>
      <c r="I60" s="92"/>
      <c r="K60" s="43"/>
    </row>
    <row r="61" spans="1:11" ht="15" customHeight="1" x14ac:dyDescent="0.25">
      <c r="A61" s="91"/>
      <c r="B61" s="81" t="s">
        <v>161</v>
      </c>
      <c r="C61" s="80" t="s">
        <v>100</v>
      </c>
      <c r="D61" s="81">
        <v>1</v>
      </c>
      <c r="E61" s="81"/>
      <c r="F61" s="78" t="s">
        <v>55</v>
      </c>
      <c r="G61" s="78" t="s">
        <v>122</v>
      </c>
      <c r="H61" s="81"/>
      <c r="I61" s="92"/>
      <c r="K61" s="44"/>
    </row>
    <row r="62" spans="1:11" ht="15" customHeight="1" x14ac:dyDescent="0.25">
      <c r="A62" s="91"/>
      <c r="B62" s="81" t="s">
        <v>23</v>
      </c>
      <c r="C62" s="80" t="s">
        <v>101</v>
      </c>
      <c r="D62" s="81">
        <v>4</v>
      </c>
      <c r="E62" s="81"/>
      <c r="F62" s="78" t="s">
        <v>87</v>
      </c>
      <c r="G62" s="78" t="s">
        <v>122</v>
      </c>
      <c r="H62" s="81"/>
      <c r="I62" s="92"/>
      <c r="K62" s="44"/>
    </row>
    <row r="63" spans="1:11" ht="15" customHeight="1" x14ac:dyDescent="0.25">
      <c r="A63" s="91"/>
      <c r="B63" s="81" t="s">
        <v>23</v>
      </c>
      <c r="C63" s="80" t="s">
        <v>32</v>
      </c>
      <c r="D63" s="81">
        <v>4</v>
      </c>
      <c r="E63" s="81"/>
      <c r="F63" s="78" t="s">
        <v>87</v>
      </c>
      <c r="G63" s="78" t="s">
        <v>122</v>
      </c>
      <c r="H63" s="78"/>
      <c r="I63" s="92"/>
      <c r="K63" s="44"/>
    </row>
    <row r="64" spans="1:11" ht="15" customHeight="1" x14ac:dyDescent="0.25">
      <c r="A64" s="91"/>
      <c r="B64" s="81" t="s">
        <v>162</v>
      </c>
      <c r="C64" s="80" t="s">
        <v>30</v>
      </c>
      <c r="D64" s="81">
        <v>2</v>
      </c>
      <c r="E64" s="81"/>
      <c r="F64" s="78" t="s">
        <v>55</v>
      </c>
      <c r="G64" s="78" t="s">
        <v>122</v>
      </c>
      <c r="H64" s="78"/>
      <c r="I64" s="93"/>
      <c r="K64" s="55"/>
    </row>
    <row r="65" spans="1:11" ht="15" customHeight="1" x14ac:dyDescent="0.25">
      <c r="A65" s="91"/>
      <c r="B65" s="81" t="s">
        <v>163</v>
      </c>
      <c r="C65" s="80" t="s">
        <v>104</v>
      </c>
      <c r="D65" s="81">
        <v>1</v>
      </c>
      <c r="E65" s="81"/>
      <c r="F65" s="78" t="s">
        <v>55</v>
      </c>
      <c r="G65" s="78" t="s">
        <v>122</v>
      </c>
      <c r="H65" s="81"/>
      <c r="I65" s="92"/>
      <c r="K65" s="44"/>
    </row>
    <row r="66" spans="1:11" ht="15" customHeight="1" x14ac:dyDescent="0.25">
      <c r="A66" s="91"/>
      <c r="B66" s="81" t="s">
        <v>164</v>
      </c>
      <c r="C66" s="80" t="s">
        <v>27</v>
      </c>
      <c r="D66" s="81">
        <v>2</v>
      </c>
      <c r="E66" s="81"/>
      <c r="F66" s="78" t="s">
        <v>55</v>
      </c>
      <c r="G66" s="78" t="s">
        <v>122</v>
      </c>
      <c r="H66" s="81"/>
      <c r="I66" s="92"/>
      <c r="K66" s="44"/>
    </row>
    <row r="67" spans="1:11" ht="15" customHeight="1" x14ac:dyDescent="0.25">
      <c r="A67" s="91"/>
      <c r="B67" s="81" t="s">
        <v>165</v>
      </c>
      <c r="C67" s="80" t="s">
        <v>28</v>
      </c>
      <c r="D67" s="81">
        <v>2</v>
      </c>
      <c r="E67" s="81"/>
      <c r="F67" s="78" t="s">
        <v>55</v>
      </c>
      <c r="G67" s="78" t="s">
        <v>122</v>
      </c>
      <c r="H67" s="81"/>
      <c r="I67" s="92"/>
      <c r="K67" s="44"/>
    </row>
    <row r="68" spans="1:11" ht="15" customHeight="1" x14ac:dyDescent="0.25">
      <c r="A68" s="91"/>
      <c r="B68" s="81" t="s">
        <v>23</v>
      </c>
      <c r="C68" s="79" t="s">
        <v>29</v>
      </c>
      <c r="D68" s="52">
        <v>2</v>
      </c>
      <c r="E68" s="52"/>
      <c r="F68" s="81" t="s">
        <v>87</v>
      </c>
      <c r="G68" s="78" t="s">
        <v>121</v>
      </c>
      <c r="H68" s="81"/>
      <c r="I68" s="92"/>
      <c r="K68" s="44"/>
    </row>
    <row r="69" spans="1:11" ht="15" customHeight="1" x14ac:dyDescent="0.25">
      <c r="A69" s="91"/>
      <c r="B69" s="81" t="s">
        <v>23</v>
      </c>
      <c r="C69" s="80" t="s">
        <v>31</v>
      </c>
      <c r="D69" s="81">
        <v>4</v>
      </c>
      <c r="E69" s="81"/>
      <c r="F69" s="78" t="s">
        <v>87</v>
      </c>
      <c r="G69" s="78" t="s">
        <v>122</v>
      </c>
      <c r="H69" s="78"/>
      <c r="I69" s="92"/>
      <c r="K69" s="44"/>
    </row>
    <row r="70" spans="1:11" ht="15" customHeight="1" x14ac:dyDescent="0.25">
      <c r="A70" s="91"/>
      <c r="B70" s="81" t="s">
        <v>23</v>
      </c>
      <c r="C70" s="80" t="s">
        <v>103</v>
      </c>
      <c r="D70" s="81">
        <v>4</v>
      </c>
      <c r="E70" s="81"/>
      <c r="F70" s="78" t="s">
        <v>87</v>
      </c>
      <c r="G70" s="78" t="s">
        <v>122</v>
      </c>
      <c r="H70" s="78"/>
      <c r="I70" s="92"/>
      <c r="K70" s="44"/>
    </row>
    <row r="71" spans="1:11" ht="15" customHeight="1" x14ac:dyDescent="0.25">
      <c r="A71" s="91"/>
      <c r="B71" s="81" t="s">
        <v>23</v>
      </c>
      <c r="C71" s="80" t="s">
        <v>33</v>
      </c>
      <c r="D71" s="81">
        <v>9</v>
      </c>
      <c r="E71" s="81"/>
      <c r="F71" s="78" t="s">
        <v>87</v>
      </c>
      <c r="G71" s="78" t="s">
        <v>121</v>
      </c>
      <c r="H71" s="81"/>
      <c r="I71" s="92"/>
      <c r="K71" s="44"/>
    </row>
    <row r="72" spans="1:11" ht="15" customHeight="1" thickBot="1" x14ac:dyDescent="0.3">
      <c r="A72" s="94"/>
      <c r="B72" s="95" t="s">
        <v>23</v>
      </c>
      <c r="C72" s="96" t="s">
        <v>34</v>
      </c>
      <c r="D72" s="95">
        <v>4</v>
      </c>
      <c r="E72" s="95"/>
      <c r="F72" s="97" t="s">
        <v>87</v>
      </c>
      <c r="G72" s="97" t="s">
        <v>121</v>
      </c>
      <c r="H72" s="95"/>
      <c r="I72" s="98"/>
      <c r="K72" s="44"/>
    </row>
    <row r="73" spans="1:11" s="32" customFormat="1" ht="15" customHeight="1" x14ac:dyDescent="0.25">
      <c r="A73" s="26"/>
      <c r="B73" s="27"/>
      <c r="C73" s="28"/>
      <c r="D73" s="29" t="s">
        <v>60</v>
      </c>
      <c r="E73" s="30"/>
      <c r="F73" s="31" t="s">
        <v>61</v>
      </c>
      <c r="G73" s="31"/>
      <c r="H73" s="31"/>
      <c r="I73" s="31"/>
    </row>
    <row r="74" spans="1:11" s="32" customFormat="1" ht="15" customHeight="1" x14ac:dyDescent="0.25">
      <c r="A74" s="33"/>
      <c r="B74" s="34"/>
      <c r="C74" s="35" t="s">
        <v>62</v>
      </c>
      <c r="D74" s="122" t="s">
        <v>166</v>
      </c>
      <c r="E74" s="122"/>
      <c r="F74" s="36">
        <v>46126</v>
      </c>
      <c r="G74" s="36"/>
      <c r="H74" s="36"/>
      <c r="I74" s="36"/>
    </row>
    <row r="75" spans="1:11" s="32" customFormat="1" ht="15" customHeight="1" x14ac:dyDescent="0.25">
      <c r="A75" s="33"/>
      <c r="B75" s="34"/>
      <c r="C75" s="35" t="s">
        <v>63</v>
      </c>
      <c r="D75" s="122"/>
      <c r="E75" s="122"/>
      <c r="F75" s="37"/>
      <c r="G75" s="37"/>
      <c r="H75" s="37"/>
      <c r="I75" s="37"/>
    </row>
    <row r="76" spans="1:11" s="32" customFormat="1" ht="15" customHeight="1" thickBot="1" x14ac:dyDescent="0.3">
      <c r="A76" s="38" t="s">
        <v>64</v>
      </c>
      <c r="B76" s="39" t="s">
        <v>65</v>
      </c>
      <c r="C76" s="40"/>
      <c r="D76" s="41"/>
      <c r="E76" s="41"/>
      <c r="F76" s="42"/>
      <c r="G76" s="42"/>
      <c r="H76" s="42"/>
      <c r="I76" s="42"/>
    </row>
    <row r="82" spans="3:3" x14ac:dyDescent="0.25">
      <c r="C82" s="24"/>
    </row>
  </sheetData>
  <autoFilter ref="A3:H76" xr:uid="{8F9EF9FB-8BFE-4AFC-8638-3DDF88CB2E0C}"/>
  <mergeCells count="3">
    <mergeCell ref="D2:E2"/>
    <mergeCell ref="D74:E74"/>
    <mergeCell ref="D75:E75"/>
  </mergeCells>
  <pageMargins left="0.74803149606299213" right="0.39370078740157477" top="0.39370078740157477" bottom="0.39370078740157477" header="0" footer="0"/>
  <pageSetup paperSize="9" scale="10" fitToHeight="0" pageOrder="overThenDown" orientation="portrait" r:id="rId1"/>
  <headerFooter alignWithMargins="0">
    <oddHeader>&amp;L&amp;"Arial,normal"&amp;8НТЦ_КТО  ПАО "КАМАЗ"</oddHeader>
    <oddFooter>&amp;L&amp;"Arial,normal"&amp;8Сформировано в 1С: Предприятие 8 (Пользователь: Григорьев Михаил Васильевич) т.338171           стр &amp;P из &amp;N&amp;R&amp;"Arial,normal"&amp;8&amp;D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918D-0E47-4F40-BDC0-019CDC95AF7D}">
  <sheetPr>
    <outlinePr summaryBelow="0" summaryRight="0"/>
    <pageSetUpPr autoPageBreaks="0"/>
  </sheetPr>
  <dimension ref="A1:M25"/>
  <sheetViews>
    <sheetView topLeftCell="A10" zoomScale="115" zoomScaleNormal="115" workbookViewId="0">
      <selection activeCell="A13" sqref="A13:I14"/>
    </sheetView>
  </sheetViews>
  <sheetFormatPr defaultColWidth="9.140625" defaultRowHeight="11.25" x14ac:dyDescent="0.25"/>
  <cols>
    <col min="1" max="1" width="5.5703125" style="25" customWidth="1"/>
    <col min="2" max="2" width="19.7109375" style="25" customWidth="1"/>
    <col min="3" max="3" width="49.42578125" style="25" customWidth="1"/>
    <col min="4" max="5" width="13.5703125" style="25" customWidth="1"/>
    <col min="6" max="7" width="30.28515625" style="25" customWidth="1"/>
    <col min="8" max="8" width="41.140625" style="25" customWidth="1"/>
    <col min="9" max="9" width="34.7109375" style="25" customWidth="1"/>
    <col min="10" max="10" width="9.140625" style="25"/>
    <col min="11" max="11" width="16.5703125" style="25" customWidth="1"/>
    <col min="12" max="12" width="9.140625" style="25"/>
    <col min="13" max="13" width="24.140625" style="25" customWidth="1"/>
    <col min="14" max="257" width="9.140625" style="25"/>
    <col min="258" max="258" width="5.5703125" style="25" customWidth="1"/>
    <col min="259" max="259" width="19.7109375" style="25" customWidth="1"/>
    <col min="260" max="260" width="34.28515625" style="25" customWidth="1"/>
    <col min="261" max="262" width="13.5703125" style="25" customWidth="1"/>
    <col min="263" max="263" width="38.42578125" style="25" customWidth="1"/>
    <col min="264" max="264" width="26.42578125" style="25" customWidth="1"/>
    <col min="265" max="265" width="38" style="25" customWidth="1"/>
    <col min="266" max="513" width="9.140625" style="25"/>
    <col min="514" max="514" width="5.5703125" style="25" customWidth="1"/>
    <col min="515" max="515" width="19.7109375" style="25" customWidth="1"/>
    <col min="516" max="516" width="34.28515625" style="25" customWidth="1"/>
    <col min="517" max="518" width="13.5703125" style="25" customWidth="1"/>
    <col min="519" max="519" width="38.42578125" style="25" customWidth="1"/>
    <col min="520" max="520" width="26.42578125" style="25" customWidth="1"/>
    <col min="521" max="521" width="38" style="25" customWidth="1"/>
    <col min="522" max="769" width="9.140625" style="25"/>
    <col min="770" max="770" width="5.5703125" style="25" customWidth="1"/>
    <col min="771" max="771" width="19.7109375" style="25" customWidth="1"/>
    <col min="772" max="772" width="34.28515625" style="25" customWidth="1"/>
    <col min="773" max="774" width="13.5703125" style="25" customWidth="1"/>
    <col min="775" max="775" width="38.42578125" style="25" customWidth="1"/>
    <col min="776" max="776" width="26.42578125" style="25" customWidth="1"/>
    <col min="777" max="777" width="38" style="25" customWidth="1"/>
    <col min="778" max="1025" width="9.140625" style="25"/>
    <col min="1026" max="1026" width="5.5703125" style="25" customWidth="1"/>
    <col min="1027" max="1027" width="19.7109375" style="25" customWidth="1"/>
    <col min="1028" max="1028" width="34.28515625" style="25" customWidth="1"/>
    <col min="1029" max="1030" width="13.5703125" style="25" customWidth="1"/>
    <col min="1031" max="1031" width="38.42578125" style="25" customWidth="1"/>
    <col min="1032" max="1032" width="26.42578125" style="25" customWidth="1"/>
    <col min="1033" max="1033" width="38" style="25" customWidth="1"/>
    <col min="1034" max="1281" width="9.140625" style="25"/>
    <col min="1282" max="1282" width="5.5703125" style="25" customWidth="1"/>
    <col min="1283" max="1283" width="19.7109375" style="25" customWidth="1"/>
    <col min="1284" max="1284" width="34.28515625" style="25" customWidth="1"/>
    <col min="1285" max="1286" width="13.5703125" style="25" customWidth="1"/>
    <col min="1287" max="1287" width="38.42578125" style="25" customWidth="1"/>
    <col min="1288" max="1288" width="26.42578125" style="25" customWidth="1"/>
    <col min="1289" max="1289" width="38" style="25" customWidth="1"/>
    <col min="1290" max="1537" width="9.140625" style="25"/>
    <col min="1538" max="1538" width="5.5703125" style="25" customWidth="1"/>
    <col min="1539" max="1539" width="19.7109375" style="25" customWidth="1"/>
    <col min="1540" max="1540" width="34.28515625" style="25" customWidth="1"/>
    <col min="1541" max="1542" width="13.5703125" style="25" customWidth="1"/>
    <col min="1543" max="1543" width="38.42578125" style="25" customWidth="1"/>
    <col min="1544" max="1544" width="26.42578125" style="25" customWidth="1"/>
    <col min="1545" max="1545" width="38" style="25" customWidth="1"/>
    <col min="1546" max="1793" width="9.140625" style="25"/>
    <col min="1794" max="1794" width="5.5703125" style="25" customWidth="1"/>
    <col min="1795" max="1795" width="19.7109375" style="25" customWidth="1"/>
    <col min="1796" max="1796" width="34.28515625" style="25" customWidth="1"/>
    <col min="1797" max="1798" width="13.5703125" style="25" customWidth="1"/>
    <col min="1799" max="1799" width="38.42578125" style="25" customWidth="1"/>
    <col min="1800" max="1800" width="26.42578125" style="25" customWidth="1"/>
    <col min="1801" max="1801" width="38" style="25" customWidth="1"/>
    <col min="1802" max="2049" width="9.140625" style="25"/>
    <col min="2050" max="2050" width="5.5703125" style="25" customWidth="1"/>
    <col min="2051" max="2051" width="19.7109375" style="25" customWidth="1"/>
    <col min="2052" max="2052" width="34.28515625" style="25" customWidth="1"/>
    <col min="2053" max="2054" width="13.5703125" style="25" customWidth="1"/>
    <col min="2055" max="2055" width="38.42578125" style="25" customWidth="1"/>
    <col min="2056" max="2056" width="26.42578125" style="25" customWidth="1"/>
    <col min="2057" max="2057" width="38" style="25" customWidth="1"/>
    <col min="2058" max="2305" width="9.140625" style="25"/>
    <col min="2306" max="2306" width="5.5703125" style="25" customWidth="1"/>
    <col min="2307" max="2307" width="19.7109375" style="25" customWidth="1"/>
    <col min="2308" max="2308" width="34.28515625" style="25" customWidth="1"/>
    <col min="2309" max="2310" width="13.5703125" style="25" customWidth="1"/>
    <col min="2311" max="2311" width="38.42578125" style="25" customWidth="1"/>
    <col min="2312" max="2312" width="26.42578125" style="25" customWidth="1"/>
    <col min="2313" max="2313" width="38" style="25" customWidth="1"/>
    <col min="2314" max="2561" width="9.140625" style="25"/>
    <col min="2562" max="2562" width="5.5703125" style="25" customWidth="1"/>
    <col min="2563" max="2563" width="19.7109375" style="25" customWidth="1"/>
    <col min="2564" max="2564" width="34.28515625" style="25" customWidth="1"/>
    <col min="2565" max="2566" width="13.5703125" style="25" customWidth="1"/>
    <col min="2567" max="2567" width="38.42578125" style="25" customWidth="1"/>
    <col min="2568" max="2568" width="26.42578125" style="25" customWidth="1"/>
    <col min="2569" max="2569" width="38" style="25" customWidth="1"/>
    <col min="2570" max="2817" width="9.140625" style="25"/>
    <col min="2818" max="2818" width="5.5703125" style="25" customWidth="1"/>
    <col min="2819" max="2819" width="19.7109375" style="25" customWidth="1"/>
    <col min="2820" max="2820" width="34.28515625" style="25" customWidth="1"/>
    <col min="2821" max="2822" width="13.5703125" style="25" customWidth="1"/>
    <col min="2823" max="2823" width="38.42578125" style="25" customWidth="1"/>
    <col min="2824" max="2824" width="26.42578125" style="25" customWidth="1"/>
    <col min="2825" max="2825" width="38" style="25" customWidth="1"/>
    <col min="2826" max="3073" width="9.140625" style="25"/>
    <col min="3074" max="3074" width="5.5703125" style="25" customWidth="1"/>
    <col min="3075" max="3075" width="19.7109375" style="25" customWidth="1"/>
    <col min="3076" max="3076" width="34.28515625" style="25" customWidth="1"/>
    <col min="3077" max="3078" width="13.5703125" style="25" customWidth="1"/>
    <col min="3079" max="3079" width="38.42578125" style="25" customWidth="1"/>
    <col min="3080" max="3080" width="26.42578125" style="25" customWidth="1"/>
    <col min="3081" max="3081" width="38" style="25" customWidth="1"/>
    <col min="3082" max="3329" width="9.140625" style="25"/>
    <col min="3330" max="3330" width="5.5703125" style="25" customWidth="1"/>
    <col min="3331" max="3331" width="19.7109375" style="25" customWidth="1"/>
    <col min="3332" max="3332" width="34.28515625" style="25" customWidth="1"/>
    <col min="3333" max="3334" width="13.5703125" style="25" customWidth="1"/>
    <col min="3335" max="3335" width="38.42578125" style="25" customWidth="1"/>
    <col min="3336" max="3336" width="26.42578125" style="25" customWidth="1"/>
    <col min="3337" max="3337" width="38" style="25" customWidth="1"/>
    <col min="3338" max="3585" width="9.140625" style="25"/>
    <col min="3586" max="3586" width="5.5703125" style="25" customWidth="1"/>
    <col min="3587" max="3587" width="19.7109375" style="25" customWidth="1"/>
    <col min="3588" max="3588" width="34.28515625" style="25" customWidth="1"/>
    <col min="3589" max="3590" width="13.5703125" style="25" customWidth="1"/>
    <col min="3591" max="3591" width="38.42578125" style="25" customWidth="1"/>
    <col min="3592" max="3592" width="26.42578125" style="25" customWidth="1"/>
    <col min="3593" max="3593" width="38" style="25" customWidth="1"/>
    <col min="3594" max="3841" width="9.140625" style="25"/>
    <col min="3842" max="3842" width="5.5703125" style="25" customWidth="1"/>
    <col min="3843" max="3843" width="19.7109375" style="25" customWidth="1"/>
    <col min="3844" max="3844" width="34.28515625" style="25" customWidth="1"/>
    <col min="3845" max="3846" width="13.5703125" style="25" customWidth="1"/>
    <col min="3847" max="3847" width="38.42578125" style="25" customWidth="1"/>
    <col min="3848" max="3848" width="26.42578125" style="25" customWidth="1"/>
    <col min="3849" max="3849" width="38" style="25" customWidth="1"/>
    <col min="3850" max="4097" width="9.140625" style="25"/>
    <col min="4098" max="4098" width="5.5703125" style="25" customWidth="1"/>
    <col min="4099" max="4099" width="19.7109375" style="25" customWidth="1"/>
    <col min="4100" max="4100" width="34.28515625" style="25" customWidth="1"/>
    <col min="4101" max="4102" width="13.5703125" style="25" customWidth="1"/>
    <col min="4103" max="4103" width="38.42578125" style="25" customWidth="1"/>
    <col min="4104" max="4104" width="26.42578125" style="25" customWidth="1"/>
    <col min="4105" max="4105" width="38" style="25" customWidth="1"/>
    <col min="4106" max="4353" width="9.140625" style="25"/>
    <col min="4354" max="4354" width="5.5703125" style="25" customWidth="1"/>
    <col min="4355" max="4355" width="19.7109375" style="25" customWidth="1"/>
    <col min="4356" max="4356" width="34.28515625" style="25" customWidth="1"/>
    <col min="4357" max="4358" width="13.5703125" style="25" customWidth="1"/>
    <col min="4359" max="4359" width="38.42578125" style="25" customWidth="1"/>
    <col min="4360" max="4360" width="26.42578125" style="25" customWidth="1"/>
    <col min="4361" max="4361" width="38" style="25" customWidth="1"/>
    <col min="4362" max="4609" width="9.140625" style="25"/>
    <col min="4610" max="4610" width="5.5703125" style="25" customWidth="1"/>
    <col min="4611" max="4611" width="19.7109375" style="25" customWidth="1"/>
    <col min="4612" max="4612" width="34.28515625" style="25" customWidth="1"/>
    <col min="4613" max="4614" width="13.5703125" style="25" customWidth="1"/>
    <col min="4615" max="4615" width="38.42578125" style="25" customWidth="1"/>
    <col min="4616" max="4616" width="26.42578125" style="25" customWidth="1"/>
    <col min="4617" max="4617" width="38" style="25" customWidth="1"/>
    <col min="4618" max="4865" width="9.140625" style="25"/>
    <col min="4866" max="4866" width="5.5703125" style="25" customWidth="1"/>
    <col min="4867" max="4867" width="19.7109375" style="25" customWidth="1"/>
    <col min="4868" max="4868" width="34.28515625" style="25" customWidth="1"/>
    <col min="4869" max="4870" width="13.5703125" style="25" customWidth="1"/>
    <col min="4871" max="4871" width="38.42578125" style="25" customWidth="1"/>
    <col min="4872" max="4872" width="26.42578125" style="25" customWidth="1"/>
    <col min="4873" max="4873" width="38" style="25" customWidth="1"/>
    <col min="4874" max="5121" width="9.140625" style="25"/>
    <col min="5122" max="5122" width="5.5703125" style="25" customWidth="1"/>
    <col min="5123" max="5123" width="19.7109375" style="25" customWidth="1"/>
    <col min="5124" max="5124" width="34.28515625" style="25" customWidth="1"/>
    <col min="5125" max="5126" width="13.5703125" style="25" customWidth="1"/>
    <col min="5127" max="5127" width="38.42578125" style="25" customWidth="1"/>
    <col min="5128" max="5128" width="26.42578125" style="25" customWidth="1"/>
    <col min="5129" max="5129" width="38" style="25" customWidth="1"/>
    <col min="5130" max="5377" width="9.140625" style="25"/>
    <col min="5378" max="5378" width="5.5703125" style="25" customWidth="1"/>
    <col min="5379" max="5379" width="19.7109375" style="25" customWidth="1"/>
    <col min="5380" max="5380" width="34.28515625" style="25" customWidth="1"/>
    <col min="5381" max="5382" width="13.5703125" style="25" customWidth="1"/>
    <col min="5383" max="5383" width="38.42578125" style="25" customWidth="1"/>
    <col min="5384" max="5384" width="26.42578125" style="25" customWidth="1"/>
    <col min="5385" max="5385" width="38" style="25" customWidth="1"/>
    <col min="5386" max="5633" width="9.140625" style="25"/>
    <col min="5634" max="5634" width="5.5703125" style="25" customWidth="1"/>
    <col min="5635" max="5635" width="19.7109375" style="25" customWidth="1"/>
    <col min="5636" max="5636" width="34.28515625" style="25" customWidth="1"/>
    <col min="5637" max="5638" width="13.5703125" style="25" customWidth="1"/>
    <col min="5639" max="5639" width="38.42578125" style="25" customWidth="1"/>
    <col min="5640" max="5640" width="26.42578125" style="25" customWidth="1"/>
    <col min="5641" max="5641" width="38" style="25" customWidth="1"/>
    <col min="5642" max="5889" width="9.140625" style="25"/>
    <col min="5890" max="5890" width="5.5703125" style="25" customWidth="1"/>
    <col min="5891" max="5891" width="19.7109375" style="25" customWidth="1"/>
    <col min="5892" max="5892" width="34.28515625" style="25" customWidth="1"/>
    <col min="5893" max="5894" width="13.5703125" style="25" customWidth="1"/>
    <col min="5895" max="5895" width="38.42578125" style="25" customWidth="1"/>
    <col min="5896" max="5896" width="26.42578125" style="25" customWidth="1"/>
    <col min="5897" max="5897" width="38" style="25" customWidth="1"/>
    <col min="5898" max="6145" width="9.140625" style="25"/>
    <col min="6146" max="6146" width="5.5703125" style="25" customWidth="1"/>
    <col min="6147" max="6147" width="19.7109375" style="25" customWidth="1"/>
    <col min="6148" max="6148" width="34.28515625" style="25" customWidth="1"/>
    <col min="6149" max="6150" width="13.5703125" style="25" customWidth="1"/>
    <col min="6151" max="6151" width="38.42578125" style="25" customWidth="1"/>
    <col min="6152" max="6152" width="26.42578125" style="25" customWidth="1"/>
    <col min="6153" max="6153" width="38" style="25" customWidth="1"/>
    <col min="6154" max="6401" width="9.140625" style="25"/>
    <col min="6402" max="6402" width="5.5703125" style="25" customWidth="1"/>
    <col min="6403" max="6403" width="19.7109375" style="25" customWidth="1"/>
    <col min="6404" max="6404" width="34.28515625" style="25" customWidth="1"/>
    <col min="6405" max="6406" width="13.5703125" style="25" customWidth="1"/>
    <col min="6407" max="6407" width="38.42578125" style="25" customWidth="1"/>
    <col min="6408" max="6408" width="26.42578125" style="25" customWidth="1"/>
    <col min="6409" max="6409" width="38" style="25" customWidth="1"/>
    <col min="6410" max="6657" width="9.140625" style="25"/>
    <col min="6658" max="6658" width="5.5703125" style="25" customWidth="1"/>
    <col min="6659" max="6659" width="19.7109375" style="25" customWidth="1"/>
    <col min="6660" max="6660" width="34.28515625" style="25" customWidth="1"/>
    <col min="6661" max="6662" width="13.5703125" style="25" customWidth="1"/>
    <col min="6663" max="6663" width="38.42578125" style="25" customWidth="1"/>
    <col min="6664" max="6664" width="26.42578125" style="25" customWidth="1"/>
    <col min="6665" max="6665" width="38" style="25" customWidth="1"/>
    <col min="6666" max="6913" width="9.140625" style="25"/>
    <col min="6914" max="6914" width="5.5703125" style="25" customWidth="1"/>
    <col min="6915" max="6915" width="19.7109375" style="25" customWidth="1"/>
    <col min="6916" max="6916" width="34.28515625" style="25" customWidth="1"/>
    <col min="6917" max="6918" width="13.5703125" style="25" customWidth="1"/>
    <col min="6919" max="6919" width="38.42578125" style="25" customWidth="1"/>
    <col min="6920" max="6920" width="26.42578125" style="25" customWidth="1"/>
    <col min="6921" max="6921" width="38" style="25" customWidth="1"/>
    <col min="6922" max="7169" width="9.140625" style="25"/>
    <col min="7170" max="7170" width="5.5703125" style="25" customWidth="1"/>
    <col min="7171" max="7171" width="19.7109375" style="25" customWidth="1"/>
    <col min="7172" max="7172" width="34.28515625" style="25" customWidth="1"/>
    <col min="7173" max="7174" width="13.5703125" style="25" customWidth="1"/>
    <col min="7175" max="7175" width="38.42578125" style="25" customWidth="1"/>
    <col min="7176" max="7176" width="26.42578125" style="25" customWidth="1"/>
    <col min="7177" max="7177" width="38" style="25" customWidth="1"/>
    <col min="7178" max="7425" width="9.140625" style="25"/>
    <col min="7426" max="7426" width="5.5703125" style="25" customWidth="1"/>
    <col min="7427" max="7427" width="19.7109375" style="25" customWidth="1"/>
    <col min="7428" max="7428" width="34.28515625" style="25" customWidth="1"/>
    <col min="7429" max="7430" width="13.5703125" style="25" customWidth="1"/>
    <col min="7431" max="7431" width="38.42578125" style="25" customWidth="1"/>
    <col min="7432" max="7432" width="26.42578125" style="25" customWidth="1"/>
    <col min="7433" max="7433" width="38" style="25" customWidth="1"/>
    <col min="7434" max="7681" width="9.140625" style="25"/>
    <col min="7682" max="7682" width="5.5703125" style="25" customWidth="1"/>
    <col min="7683" max="7683" width="19.7109375" style="25" customWidth="1"/>
    <col min="7684" max="7684" width="34.28515625" style="25" customWidth="1"/>
    <col min="7685" max="7686" width="13.5703125" style="25" customWidth="1"/>
    <col min="7687" max="7687" width="38.42578125" style="25" customWidth="1"/>
    <col min="7688" max="7688" width="26.42578125" style="25" customWidth="1"/>
    <col min="7689" max="7689" width="38" style="25" customWidth="1"/>
    <col min="7690" max="7937" width="9.140625" style="25"/>
    <col min="7938" max="7938" width="5.5703125" style="25" customWidth="1"/>
    <col min="7939" max="7939" width="19.7109375" style="25" customWidth="1"/>
    <col min="7940" max="7940" width="34.28515625" style="25" customWidth="1"/>
    <col min="7941" max="7942" width="13.5703125" style="25" customWidth="1"/>
    <col min="7943" max="7943" width="38.42578125" style="25" customWidth="1"/>
    <col min="7944" max="7944" width="26.42578125" style="25" customWidth="1"/>
    <col min="7945" max="7945" width="38" style="25" customWidth="1"/>
    <col min="7946" max="8193" width="9.140625" style="25"/>
    <col min="8194" max="8194" width="5.5703125" style="25" customWidth="1"/>
    <col min="8195" max="8195" width="19.7109375" style="25" customWidth="1"/>
    <col min="8196" max="8196" width="34.28515625" style="25" customWidth="1"/>
    <col min="8197" max="8198" width="13.5703125" style="25" customWidth="1"/>
    <col min="8199" max="8199" width="38.42578125" style="25" customWidth="1"/>
    <col min="8200" max="8200" width="26.42578125" style="25" customWidth="1"/>
    <col min="8201" max="8201" width="38" style="25" customWidth="1"/>
    <col min="8202" max="8449" width="9.140625" style="25"/>
    <col min="8450" max="8450" width="5.5703125" style="25" customWidth="1"/>
    <col min="8451" max="8451" width="19.7109375" style="25" customWidth="1"/>
    <col min="8452" max="8452" width="34.28515625" style="25" customWidth="1"/>
    <col min="8453" max="8454" width="13.5703125" style="25" customWidth="1"/>
    <col min="8455" max="8455" width="38.42578125" style="25" customWidth="1"/>
    <col min="8456" max="8456" width="26.42578125" style="25" customWidth="1"/>
    <col min="8457" max="8457" width="38" style="25" customWidth="1"/>
    <col min="8458" max="8705" width="9.140625" style="25"/>
    <col min="8706" max="8706" width="5.5703125" style="25" customWidth="1"/>
    <col min="8707" max="8707" width="19.7109375" style="25" customWidth="1"/>
    <col min="8708" max="8708" width="34.28515625" style="25" customWidth="1"/>
    <col min="8709" max="8710" width="13.5703125" style="25" customWidth="1"/>
    <col min="8711" max="8711" width="38.42578125" style="25" customWidth="1"/>
    <col min="8712" max="8712" width="26.42578125" style="25" customWidth="1"/>
    <col min="8713" max="8713" width="38" style="25" customWidth="1"/>
    <col min="8714" max="8961" width="9.140625" style="25"/>
    <col min="8962" max="8962" width="5.5703125" style="25" customWidth="1"/>
    <col min="8963" max="8963" width="19.7109375" style="25" customWidth="1"/>
    <col min="8964" max="8964" width="34.28515625" style="25" customWidth="1"/>
    <col min="8965" max="8966" width="13.5703125" style="25" customWidth="1"/>
    <col min="8967" max="8967" width="38.42578125" style="25" customWidth="1"/>
    <col min="8968" max="8968" width="26.42578125" style="25" customWidth="1"/>
    <col min="8969" max="8969" width="38" style="25" customWidth="1"/>
    <col min="8970" max="9217" width="9.140625" style="25"/>
    <col min="9218" max="9218" width="5.5703125" style="25" customWidth="1"/>
    <col min="9219" max="9219" width="19.7109375" style="25" customWidth="1"/>
    <col min="9220" max="9220" width="34.28515625" style="25" customWidth="1"/>
    <col min="9221" max="9222" width="13.5703125" style="25" customWidth="1"/>
    <col min="9223" max="9223" width="38.42578125" style="25" customWidth="1"/>
    <col min="9224" max="9224" width="26.42578125" style="25" customWidth="1"/>
    <col min="9225" max="9225" width="38" style="25" customWidth="1"/>
    <col min="9226" max="9473" width="9.140625" style="25"/>
    <col min="9474" max="9474" width="5.5703125" style="25" customWidth="1"/>
    <col min="9475" max="9475" width="19.7109375" style="25" customWidth="1"/>
    <col min="9476" max="9476" width="34.28515625" style="25" customWidth="1"/>
    <col min="9477" max="9478" width="13.5703125" style="25" customWidth="1"/>
    <col min="9479" max="9479" width="38.42578125" style="25" customWidth="1"/>
    <col min="9480" max="9480" width="26.42578125" style="25" customWidth="1"/>
    <col min="9481" max="9481" width="38" style="25" customWidth="1"/>
    <col min="9482" max="9729" width="9.140625" style="25"/>
    <col min="9730" max="9730" width="5.5703125" style="25" customWidth="1"/>
    <col min="9731" max="9731" width="19.7109375" style="25" customWidth="1"/>
    <col min="9732" max="9732" width="34.28515625" style="25" customWidth="1"/>
    <col min="9733" max="9734" width="13.5703125" style="25" customWidth="1"/>
    <col min="9735" max="9735" width="38.42578125" style="25" customWidth="1"/>
    <col min="9736" max="9736" width="26.42578125" style="25" customWidth="1"/>
    <col min="9737" max="9737" width="38" style="25" customWidth="1"/>
    <col min="9738" max="9985" width="9.140625" style="25"/>
    <col min="9986" max="9986" width="5.5703125" style="25" customWidth="1"/>
    <col min="9987" max="9987" width="19.7109375" style="25" customWidth="1"/>
    <col min="9988" max="9988" width="34.28515625" style="25" customWidth="1"/>
    <col min="9989" max="9990" width="13.5703125" style="25" customWidth="1"/>
    <col min="9991" max="9991" width="38.42578125" style="25" customWidth="1"/>
    <col min="9992" max="9992" width="26.42578125" style="25" customWidth="1"/>
    <col min="9993" max="9993" width="38" style="25" customWidth="1"/>
    <col min="9994" max="10241" width="9.140625" style="25"/>
    <col min="10242" max="10242" width="5.5703125" style="25" customWidth="1"/>
    <col min="10243" max="10243" width="19.7109375" style="25" customWidth="1"/>
    <col min="10244" max="10244" width="34.28515625" style="25" customWidth="1"/>
    <col min="10245" max="10246" width="13.5703125" style="25" customWidth="1"/>
    <col min="10247" max="10247" width="38.42578125" style="25" customWidth="1"/>
    <col min="10248" max="10248" width="26.42578125" style="25" customWidth="1"/>
    <col min="10249" max="10249" width="38" style="25" customWidth="1"/>
    <col min="10250" max="10497" width="9.140625" style="25"/>
    <col min="10498" max="10498" width="5.5703125" style="25" customWidth="1"/>
    <col min="10499" max="10499" width="19.7109375" style="25" customWidth="1"/>
    <col min="10500" max="10500" width="34.28515625" style="25" customWidth="1"/>
    <col min="10501" max="10502" width="13.5703125" style="25" customWidth="1"/>
    <col min="10503" max="10503" width="38.42578125" style="25" customWidth="1"/>
    <col min="10504" max="10504" width="26.42578125" style="25" customWidth="1"/>
    <col min="10505" max="10505" width="38" style="25" customWidth="1"/>
    <col min="10506" max="10753" width="9.140625" style="25"/>
    <col min="10754" max="10754" width="5.5703125" style="25" customWidth="1"/>
    <col min="10755" max="10755" width="19.7109375" style="25" customWidth="1"/>
    <col min="10756" max="10756" width="34.28515625" style="25" customWidth="1"/>
    <col min="10757" max="10758" width="13.5703125" style="25" customWidth="1"/>
    <col min="10759" max="10759" width="38.42578125" style="25" customWidth="1"/>
    <col min="10760" max="10760" width="26.42578125" style="25" customWidth="1"/>
    <col min="10761" max="10761" width="38" style="25" customWidth="1"/>
    <col min="10762" max="11009" width="9.140625" style="25"/>
    <col min="11010" max="11010" width="5.5703125" style="25" customWidth="1"/>
    <col min="11011" max="11011" width="19.7109375" style="25" customWidth="1"/>
    <col min="11012" max="11012" width="34.28515625" style="25" customWidth="1"/>
    <col min="11013" max="11014" width="13.5703125" style="25" customWidth="1"/>
    <col min="11015" max="11015" width="38.42578125" style="25" customWidth="1"/>
    <col min="11016" max="11016" width="26.42578125" style="25" customWidth="1"/>
    <col min="11017" max="11017" width="38" style="25" customWidth="1"/>
    <col min="11018" max="11265" width="9.140625" style="25"/>
    <col min="11266" max="11266" width="5.5703125" style="25" customWidth="1"/>
    <col min="11267" max="11267" width="19.7109375" style="25" customWidth="1"/>
    <col min="11268" max="11268" width="34.28515625" style="25" customWidth="1"/>
    <col min="11269" max="11270" width="13.5703125" style="25" customWidth="1"/>
    <col min="11271" max="11271" width="38.42578125" style="25" customWidth="1"/>
    <col min="11272" max="11272" width="26.42578125" style="25" customWidth="1"/>
    <col min="11273" max="11273" width="38" style="25" customWidth="1"/>
    <col min="11274" max="11521" width="9.140625" style="25"/>
    <col min="11522" max="11522" width="5.5703125" style="25" customWidth="1"/>
    <col min="11523" max="11523" width="19.7109375" style="25" customWidth="1"/>
    <col min="11524" max="11524" width="34.28515625" style="25" customWidth="1"/>
    <col min="11525" max="11526" width="13.5703125" style="25" customWidth="1"/>
    <col min="11527" max="11527" width="38.42578125" style="25" customWidth="1"/>
    <col min="11528" max="11528" width="26.42578125" style="25" customWidth="1"/>
    <col min="11529" max="11529" width="38" style="25" customWidth="1"/>
    <col min="11530" max="11777" width="9.140625" style="25"/>
    <col min="11778" max="11778" width="5.5703125" style="25" customWidth="1"/>
    <col min="11779" max="11779" width="19.7109375" style="25" customWidth="1"/>
    <col min="11780" max="11780" width="34.28515625" style="25" customWidth="1"/>
    <col min="11781" max="11782" width="13.5703125" style="25" customWidth="1"/>
    <col min="11783" max="11783" width="38.42578125" style="25" customWidth="1"/>
    <col min="11784" max="11784" width="26.42578125" style="25" customWidth="1"/>
    <col min="11785" max="11785" width="38" style="25" customWidth="1"/>
    <col min="11786" max="12033" width="9.140625" style="25"/>
    <col min="12034" max="12034" width="5.5703125" style="25" customWidth="1"/>
    <col min="12035" max="12035" width="19.7109375" style="25" customWidth="1"/>
    <col min="12036" max="12036" width="34.28515625" style="25" customWidth="1"/>
    <col min="12037" max="12038" width="13.5703125" style="25" customWidth="1"/>
    <col min="12039" max="12039" width="38.42578125" style="25" customWidth="1"/>
    <col min="12040" max="12040" width="26.42578125" style="25" customWidth="1"/>
    <col min="12041" max="12041" width="38" style="25" customWidth="1"/>
    <col min="12042" max="12289" width="9.140625" style="25"/>
    <col min="12290" max="12290" width="5.5703125" style="25" customWidth="1"/>
    <col min="12291" max="12291" width="19.7109375" style="25" customWidth="1"/>
    <col min="12292" max="12292" width="34.28515625" style="25" customWidth="1"/>
    <col min="12293" max="12294" width="13.5703125" style="25" customWidth="1"/>
    <col min="12295" max="12295" width="38.42578125" style="25" customWidth="1"/>
    <col min="12296" max="12296" width="26.42578125" style="25" customWidth="1"/>
    <col min="12297" max="12297" width="38" style="25" customWidth="1"/>
    <col min="12298" max="12545" width="9.140625" style="25"/>
    <col min="12546" max="12546" width="5.5703125" style="25" customWidth="1"/>
    <col min="12547" max="12547" width="19.7109375" style="25" customWidth="1"/>
    <col min="12548" max="12548" width="34.28515625" style="25" customWidth="1"/>
    <col min="12549" max="12550" width="13.5703125" style="25" customWidth="1"/>
    <col min="12551" max="12551" width="38.42578125" style="25" customWidth="1"/>
    <col min="12552" max="12552" width="26.42578125" style="25" customWidth="1"/>
    <col min="12553" max="12553" width="38" style="25" customWidth="1"/>
    <col min="12554" max="12801" width="9.140625" style="25"/>
    <col min="12802" max="12802" width="5.5703125" style="25" customWidth="1"/>
    <col min="12803" max="12803" width="19.7109375" style="25" customWidth="1"/>
    <col min="12804" max="12804" width="34.28515625" style="25" customWidth="1"/>
    <col min="12805" max="12806" width="13.5703125" style="25" customWidth="1"/>
    <col min="12807" max="12807" width="38.42578125" style="25" customWidth="1"/>
    <col min="12808" max="12808" width="26.42578125" style="25" customWidth="1"/>
    <col min="12809" max="12809" width="38" style="25" customWidth="1"/>
    <col min="12810" max="13057" width="9.140625" style="25"/>
    <col min="13058" max="13058" width="5.5703125" style="25" customWidth="1"/>
    <col min="13059" max="13059" width="19.7109375" style="25" customWidth="1"/>
    <col min="13060" max="13060" width="34.28515625" style="25" customWidth="1"/>
    <col min="13061" max="13062" width="13.5703125" style="25" customWidth="1"/>
    <col min="13063" max="13063" width="38.42578125" style="25" customWidth="1"/>
    <col min="13064" max="13064" width="26.42578125" style="25" customWidth="1"/>
    <col min="13065" max="13065" width="38" style="25" customWidth="1"/>
    <col min="13066" max="13313" width="9.140625" style="25"/>
    <col min="13314" max="13314" width="5.5703125" style="25" customWidth="1"/>
    <col min="13315" max="13315" width="19.7109375" style="25" customWidth="1"/>
    <col min="13316" max="13316" width="34.28515625" style="25" customWidth="1"/>
    <col min="13317" max="13318" width="13.5703125" style="25" customWidth="1"/>
    <col min="13319" max="13319" width="38.42578125" style="25" customWidth="1"/>
    <col min="13320" max="13320" width="26.42578125" style="25" customWidth="1"/>
    <col min="13321" max="13321" width="38" style="25" customWidth="1"/>
    <col min="13322" max="13569" width="9.140625" style="25"/>
    <col min="13570" max="13570" width="5.5703125" style="25" customWidth="1"/>
    <col min="13571" max="13571" width="19.7109375" style="25" customWidth="1"/>
    <col min="13572" max="13572" width="34.28515625" style="25" customWidth="1"/>
    <col min="13573" max="13574" width="13.5703125" style="25" customWidth="1"/>
    <col min="13575" max="13575" width="38.42578125" style="25" customWidth="1"/>
    <col min="13576" max="13576" width="26.42578125" style="25" customWidth="1"/>
    <col min="13577" max="13577" width="38" style="25" customWidth="1"/>
    <col min="13578" max="13825" width="9.140625" style="25"/>
    <col min="13826" max="13826" width="5.5703125" style="25" customWidth="1"/>
    <col min="13827" max="13827" width="19.7109375" style="25" customWidth="1"/>
    <col min="13828" max="13828" width="34.28515625" style="25" customWidth="1"/>
    <col min="13829" max="13830" width="13.5703125" style="25" customWidth="1"/>
    <col min="13831" max="13831" width="38.42578125" style="25" customWidth="1"/>
    <col min="13832" max="13832" width="26.42578125" style="25" customWidth="1"/>
    <col min="13833" max="13833" width="38" style="25" customWidth="1"/>
    <col min="13834" max="14081" width="9.140625" style="25"/>
    <col min="14082" max="14082" width="5.5703125" style="25" customWidth="1"/>
    <col min="14083" max="14083" width="19.7109375" style="25" customWidth="1"/>
    <col min="14084" max="14084" width="34.28515625" style="25" customWidth="1"/>
    <col min="14085" max="14086" width="13.5703125" style="25" customWidth="1"/>
    <col min="14087" max="14087" width="38.42578125" style="25" customWidth="1"/>
    <col min="14088" max="14088" width="26.42578125" style="25" customWidth="1"/>
    <col min="14089" max="14089" width="38" style="25" customWidth="1"/>
    <col min="14090" max="14337" width="9.140625" style="25"/>
    <col min="14338" max="14338" width="5.5703125" style="25" customWidth="1"/>
    <col min="14339" max="14339" width="19.7109375" style="25" customWidth="1"/>
    <col min="14340" max="14340" width="34.28515625" style="25" customWidth="1"/>
    <col min="14341" max="14342" width="13.5703125" style="25" customWidth="1"/>
    <col min="14343" max="14343" width="38.42578125" style="25" customWidth="1"/>
    <col min="14344" max="14344" width="26.42578125" style="25" customWidth="1"/>
    <col min="14345" max="14345" width="38" style="25" customWidth="1"/>
    <col min="14346" max="14593" width="9.140625" style="25"/>
    <col min="14594" max="14594" width="5.5703125" style="25" customWidth="1"/>
    <col min="14595" max="14595" width="19.7109375" style="25" customWidth="1"/>
    <col min="14596" max="14596" width="34.28515625" style="25" customWidth="1"/>
    <col min="14597" max="14598" width="13.5703125" style="25" customWidth="1"/>
    <col min="14599" max="14599" width="38.42578125" style="25" customWidth="1"/>
    <col min="14600" max="14600" width="26.42578125" style="25" customWidth="1"/>
    <col min="14601" max="14601" width="38" style="25" customWidth="1"/>
    <col min="14602" max="14849" width="9.140625" style="25"/>
    <col min="14850" max="14850" width="5.5703125" style="25" customWidth="1"/>
    <col min="14851" max="14851" width="19.7109375" style="25" customWidth="1"/>
    <col min="14852" max="14852" width="34.28515625" style="25" customWidth="1"/>
    <col min="14853" max="14854" width="13.5703125" style="25" customWidth="1"/>
    <col min="14855" max="14855" width="38.42578125" style="25" customWidth="1"/>
    <col min="14856" max="14856" width="26.42578125" style="25" customWidth="1"/>
    <col min="14857" max="14857" width="38" style="25" customWidth="1"/>
    <col min="14858" max="15105" width="9.140625" style="25"/>
    <col min="15106" max="15106" width="5.5703125" style="25" customWidth="1"/>
    <col min="15107" max="15107" width="19.7109375" style="25" customWidth="1"/>
    <col min="15108" max="15108" width="34.28515625" style="25" customWidth="1"/>
    <col min="15109" max="15110" width="13.5703125" style="25" customWidth="1"/>
    <col min="15111" max="15111" width="38.42578125" style="25" customWidth="1"/>
    <col min="15112" max="15112" width="26.42578125" style="25" customWidth="1"/>
    <col min="15113" max="15113" width="38" style="25" customWidth="1"/>
    <col min="15114" max="15361" width="9.140625" style="25"/>
    <col min="15362" max="15362" width="5.5703125" style="25" customWidth="1"/>
    <col min="15363" max="15363" width="19.7109375" style="25" customWidth="1"/>
    <col min="15364" max="15364" width="34.28515625" style="25" customWidth="1"/>
    <col min="15365" max="15366" width="13.5703125" style="25" customWidth="1"/>
    <col min="15367" max="15367" width="38.42578125" style="25" customWidth="1"/>
    <col min="15368" max="15368" width="26.42578125" style="25" customWidth="1"/>
    <col min="15369" max="15369" width="38" style="25" customWidth="1"/>
    <col min="15370" max="15617" width="9.140625" style="25"/>
    <col min="15618" max="15618" width="5.5703125" style="25" customWidth="1"/>
    <col min="15619" max="15619" width="19.7109375" style="25" customWidth="1"/>
    <col min="15620" max="15620" width="34.28515625" style="25" customWidth="1"/>
    <col min="15621" max="15622" width="13.5703125" style="25" customWidth="1"/>
    <col min="15623" max="15623" width="38.42578125" style="25" customWidth="1"/>
    <col min="15624" max="15624" width="26.42578125" style="25" customWidth="1"/>
    <col min="15625" max="15625" width="38" style="25" customWidth="1"/>
    <col min="15626" max="15873" width="9.140625" style="25"/>
    <col min="15874" max="15874" width="5.5703125" style="25" customWidth="1"/>
    <col min="15875" max="15875" width="19.7109375" style="25" customWidth="1"/>
    <col min="15876" max="15876" width="34.28515625" style="25" customWidth="1"/>
    <col min="15877" max="15878" width="13.5703125" style="25" customWidth="1"/>
    <col min="15879" max="15879" width="38.42578125" style="25" customWidth="1"/>
    <col min="15880" max="15880" width="26.42578125" style="25" customWidth="1"/>
    <col min="15881" max="15881" width="38" style="25" customWidth="1"/>
    <col min="15882" max="16129" width="9.140625" style="25"/>
    <col min="16130" max="16130" width="5.5703125" style="25" customWidth="1"/>
    <col min="16131" max="16131" width="19.7109375" style="25" customWidth="1"/>
    <col min="16132" max="16132" width="34.28515625" style="25" customWidth="1"/>
    <col min="16133" max="16134" width="13.5703125" style="25" customWidth="1"/>
    <col min="16135" max="16135" width="38.42578125" style="25" customWidth="1"/>
    <col min="16136" max="16136" width="26.42578125" style="25" customWidth="1"/>
    <col min="16137" max="16137" width="38" style="25" customWidth="1"/>
    <col min="16138" max="16384" width="9.140625" style="25"/>
  </cols>
  <sheetData>
    <row r="1" spans="1:13" ht="12" thickBot="1" x14ac:dyDescent="0.3">
      <c r="E1" s="25">
        <v>1</v>
      </c>
    </row>
    <row r="2" spans="1:13" ht="43.5" customHeight="1" x14ac:dyDescent="0.25">
      <c r="A2" s="49"/>
      <c r="B2" s="50" t="s">
        <v>42</v>
      </c>
      <c r="C2" s="50" t="s">
        <v>69</v>
      </c>
      <c r="D2" s="121" t="s">
        <v>44</v>
      </c>
      <c r="E2" s="121"/>
      <c r="F2" s="50" t="s">
        <v>45</v>
      </c>
      <c r="G2" s="50"/>
      <c r="H2" s="50"/>
      <c r="I2" s="51"/>
    </row>
    <row r="3" spans="1:13" ht="58.5" customHeight="1" thickBot="1" x14ac:dyDescent="0.3">
      <c r="A3" s="82" t="s">
        <v>46</v>
      </c>
      <c r="B3" s="83" t="s">
        <v>47</v>
      </c>
      <c r="C3" s="83" t="s">
        <v>12</v>
      </c>
      <c r="D3" s="84" t="s">
        <v>48</v>
      </c>
      <c r="E3" s="84" t="s">
        <v>49</v>
      </c>
      <c r="F3" s="83" t="s">
        <v>50</v>
      </c>
      <c r="G3" s="83" t="s">
        <v>120</v>
      </c>
      <c r="H3" s="83" t="s">
        <v>51</v>
      </c>
      <c r="I3" s="85" t="s">
        <v>52</v>
      </c>
      <c r="K3" s="25" t="s">
        <v>107</v>
      </c>
      <c r="M3" s="25" t="s">
        <v>108</v>
      </c>
    </row>
    <row r="4" spans="1:13" ht="15" customHeight="1" x14ac:dyDescent="0.25">
      <c r="A4" s="86"/>
      <c r="B4" s="99" t="s">
        <v>167</v>
      </c>
      <c r="C4" s="100" t="s">
        <v>168</v>
      </c>
      <c r="D4" s="89">
        <v>1</v>
      </c>
      <c r="E4" s="89"/>
      <c r="F4" s="87" t="s">
        <v>54</v>
      </c>
      <c r="G4" s="87" t="s">
        <v>178</v>
      </c>
      <c r="H4" s="99"/>
      <c r="I4" s="90"/>
      <c r="K4" s="43"/>
      <c r="M4" s="43" t="s">
        <v>17</v>
      </c>
    </row>
    <row r="5" spans="1:13" ht="15" customHeight="1" x14ac:dyDescent="0.25">
      <c r="A5" s="91"/>
      <c r="B5" s="81" t="s">
        <v>169</v>
      </c>
      <c r="C5" s="79" t="s">
        <v>18</v>
      </c>
      <c r="D5" s="52">
        <v>1</v>
      </c>
      <c r="E5" s="52"/>
      <c r="F5" s="78" t="s">
        <v>54</v>
      </c>
      <c r="G5" s="78" t="s">
        <v>178</v>
      </c>
      <c r="H5" s="81"/>
      <c r="I5" s="92"/>
      <c r="K5" s="43"/>
      <c r="M5" s="55" t="s">
        <v>106</v>
      </c>
    </row>
    <row r="6" spans="1:13" ht="15" customHeight="1" x14ac:dyDescent="0.25">
      <c r="A6" s="101"/>
      <c r="B6" s="46" t="s">
        <v>170</v>
      </c>
      <c r="C6" s="45" t="s">
        <v>25</v>
      </c>
      <c r="D6" s="52">
        <v>1</v>
      </c>
      <c r="E6" s="47"/>
      <c r="F6" s="44" t="s">
        <v>55</v>
      </c>
      <c r="G6" s="78" t="s">
        <v>178</v>
      </c>
      <c r="H6" s="46"/>
      <c r="I6" s="102"/>
    </row>
    <row r="7" spans="1:13" ht="15" customHeight="1" x14ac:dyDescent="0.25">
      <c r="A7" s="101"/>
      <c r="B7" s="46" t="s">
        <v>171</v>
      </c>
      <c r="C7" s="45" t="s">
        <v>24</v>
      </c>
      <c r="D7" s="52">
        <v>4</v>
      </c>
      <c r="E7" s="47"/>
      <c r="F7" s="44" t="s">
        <v>55</v>
      </c>
      <c r="G7" s="78" t="s">
        <v>178</v>
      </c>
      <c r="H7" s="46"/>
      <c r="I7" s="102"/>
    </row>
    <row r="8" spans="1:13" ht="15" customHeight="1" x14ac:dyDescent="0.25">
      <c r="A8" s="101"/>
      <c r="B8" s="46" t="s">
        <v>172</v>
      </c>
      <c r="C8" s="45" t="s">
        <v>38</v>
      </c>
      <c r="D8" s="52">
        <v>1</v>
      </c>
      <c r="E8" s="47"/>
      <c r="F8" s="44" t="s">
        <v>55</v>
      </c>
      <c r="G8" s="78" t="s">
        <v>178</v>
      </c>
      <c r="H8" s="46"/>
      <c r="I8" s="102"/>
    </row>
    <row r="9" spans="1:13" ht="15" customHeight="1" x14ac:dyDescent="0.25">
      <c r="A9" s="101"/>
      <c r="B9" s="46" t="s">
        <v>173</v>
      </c>
      <c r="C9" s="45" t="s">
        <v>39</v>
      </c>
      <c r="D9" s="52">
        <v>1</v>
      </c>
      <c r="E9" s="47"/>
      <c r="F9" s="44" t="s">
        <v>55</v>
      </c>
      <c r="G9" s="78" t="s">
        <v>178</v>
      </c>
      <c r="H9" s="46"/>
      <c r="I9" s="102"/>
    </row>
    <row r="10" spans="1:13" ht="15" customHeight="1" x14ac:dyDescent="0.25">
      <c r="A10" s="101"/>
      <c r="B10" s="46" t="s">
        <v>174</v>
      </c>
      <c r="C10" s="45" t="s">
        <v>40</v>
      </c>
      <c r="D10" s="52">
        <v>1</v>
      </c>
      <c r="E10" s="47"/>
      <c r="F10" s="44" t="s">
        <v>55</v>
      </c>
      <c r="G10" s="78" t="s">
        <v>178</v>
      </c>
      <c r="H10" s="46"/>
      <c r="I10" s="102"/>
    </row>
    <row r="11" spans="1:13" ht="15" customHeight="1" x14ac:dyDescent="0.25">
      <c r="A11" s="101"/>
      <c r="B11" s="46" t="s">
        <v>175</v>
      </c>
      <c r="C11" s="45" t="s">
        <v>41</v>
      </c>
      <c r="D11" s="52">
        <v>2</v>
      </c>
      <c r="E11" s="47"/>
      <c r="F11" s="44" t="s">
        <v>55</v>
      </c>
      <c r="G11" s="78" t="s">
        <v>178</v>
      </c>
      <c r="H11" s="46"/>
      <c r="I11" s="102"/>
    </row>
    <row r="12" spans="1:13" ht="15" customHeight="1" x14ac:dyDescent="0.25">
      <c r="A12" s="101"/>
      <c r="B12" s="46" t="s">
        <v>176</v>
      </c>
      <c r="C12" s="45" t="s">
        <v>105</v>
      </c>
      <c r="D12" s="52">
        <v>2</v>
      </c>
      <c r="E12" s="47"/>
      <c r="F12" s="44" t="s">
        <v>55</v>
      </c>
      <c r="G12" s="78" t="s">
        <v>178</v>
      </c>
      <c r="H12" s="46"/>
      <c r="I12" s="102"/>
    </row>
    <row r="13" spans="1:13" ht="15" customHeight="1" x14ac:dyDescent="0.25">
      <c r="A13" s="101"/>
      <c r="B13" s="46" t="s">
        <v>23</v>
      </c>
      <c r="C13" s="45" t="s">
        <v>21</v>
      </c>
      <c r="D13" s="47">
        <v>4</v>
      </c>
      <c r="E13" s="47"/>
      <c r="F13" s="44" t="s">
        <v>87</v>
      </c>
      <c r="G13" s="78" t="s">
        <v>178</v>
      </c>
      <c r="H13" s="46"/>
      <c r="I13" s="102"/>
    </row>
    <row r="14" spans="1:13" ht="15" customHeight="1" x14ac:dyDescent="0.25">
      <c r="A14" s="101"/>
      <c r="B14" s="46" t="s">
        <v>23</v>
      </c>
      <c r="C14" s="45" t="s">
        <v>22</v>
      </c>
      <c r="D14" s="47">
        <v>4</v>
      </c>
      <c r="E14" s="47"/>
      <c r="F14" s="44" t="s">
        <v>87</v>
      </c>
      <c r="G14" s="78" t="s">
        <v>178</v>
      </c>
      <c r="H14" s="46"/>
      <c r="I14" s="102"/>
    </row>
    <row r="15" spans="1:13" ht="15" customHeight="1" thickBot="1" x14ac:dyDescent="0.3">
      <c r="A15" s="82"/>
      <c r="B15" s="103" t="s">
        <v>177</v>
      </c>
      <c r="C15" s="104" t="s">
        <v>14</v>
      </c>
      <c r="D15" s="105">
        <v>1</v>
      </c>
      <c r="E15" s="105"/>
      <c r="F15" s="106" t="s">
        <v>55</v>
      </c>
      <c r="G15" s="97" t="s">
        <v>178</v>
      </c>
      <c r="H15" s="103"/>
      <c r="I15" s="107"/>
    </row>
    <row r="16" spans="1:13" s="32" customFormat="1" ht="15" customHeight="1" x14ac:dyDescent="0.25">
      <c r="A16" s="26"/>
      <c r="B16" s="27"/>
      <c r="C16" s="28"/>
      <c r="D16" s="29" t="s">
        <v>60</v>
      </c>
      <c r="E16" s="30"/>
      <c r="F16" s="31" t="s">
        <v>61</v>
      </c>
      <c r="G16" s="31"/>
      <c r="H16" s="31"/>
      <c r="I16" s="31"/>
    </row>
    <row r="17" spans="1:9" s="32" customFormat="1" ht="15" customHeight="1" x14ac:dyDescent="0.25">
      <c r="A17" s="33"/>
      <c r="B17" s="34"/>
      <c r="C17" s="35" t="s">
        <v>62</v>
      </c>
      <c r="D17" s="122" t="s">
        <v>166</v>
      </c>
      <c r="E17" s="122"/>
      <c r="F17" s="36">
        <v>46126</v>
      </c>
      <c r="G17" s="36"/>
      <c r="H17" s="36"/>
      <c r="I17" s="36"/>
    </row>
    <row r="18" spans="1:9" s="32" customFormat="1" ht="15" customHeight="1" x14ac:dyDescent="0.25">
      <c r="A18" s="33"/>
      <c r="B18" s="34"/>
      <c r="C18" s="35" t="s">
        <v>63</v>
      </c>
      <c r="D18" s="122"/>
      <c r="E18" s="122"/>
      <c r="F18" s="37"/>
      <c r="G18" s="37"/>
      <c r="H18" s="37"/>
      <c r="I18" s="37"/>
    </row>
    <row r="19" spans="1:9" s="32" customFormat="1" ht="15" customHeight="1" thickBot="1" x14ac:dyDescent="0.3">
      <c r="A19" s="38" t="s">
        <v>64</v>
      </c>
      <c r="B19" s="39" t="s">
        <v>65</v>
      </c>
      <c r="C19" s="40"/>
      <c r="D19" s="41"/>
      <c r="E19" s="41"/>
      <c r="F19" s="42"/>
      <c r="G19" s="42"/>
      <c r="H19" s="42"/>
      <c r="I19" s="42"/>
    </row>
    <row r="25" spans="1:9" x14ac:dyDescent="0.25">
      <c r="C25" s="24"/>
    </row>
  </sheetData>
  <autoFilter ref="A3:H19" xr:uid="{8F9EF9FB-8BFE-4AFC-8638-3DDF88CB2E0C}"/>
  <mergeCells count="3">
    <mergeCell ref="D2:E2"/>
    <mergeCell ref="D17:E17"/>
    <mergeCell ref="D18:E18"/>
  </mergeCells>
  <pageMargins left="0.74803149606299213" right="0.39370078740157477" top="0.39370078740157477" bottom="0.39370078740157477" header="0" footer="0"/>
  <pageSetup paperSize="9" scale="10" fitToHeight="0" pageOrder="overThenDown" orientation="portrait" r:id="rId1"/>
  <headerFooter alignWithMargins="0">
    <oddHeader>&amp;L&amp;"Arial,normal"&amp;8НТЦ_КТО  ПАО "КАМАЗ"</oddHeader>
    <oddFooter>&amp;L&amp;"Arial,normal"&amp;8Сформировано в 1С: Предприятие 8 (Пользователь: Григорьев Михаил Васильевич) т.338171           стр &amp;P из &amp;N&amp;R&amp;"Arial,normal"&amp;8&amp;D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964A-BE09-4050-A0EF-E8AAAE184FDD}">
  <dimension ref="A1:I32"/>
  <sheetViews>
    <sheetView workbookViewId="0">
      <selection activeCell="C45" sqref="C45"/>
    </sheetView>
  </sheetViews>
  <sheetFormatPr defaultRowHeight="11.25" x14ac:dyDescent="0.2"/>
  <cols>
    <col min="1" max="1" width="5.5703125" style="16" customWidth="1"/>
    <col min="2" max="2" width="19.7109375" style="16" customWidth="1"/>
    <col min="3" max="3" width="34.28515625" style="16" customWidth="1"/>
    <col min="4" max="5" width="13.5703125" style="16" customWidth="1"/>
    <col min="6" max="7" width="32" style="16" customWidth="1"/>
    <col min="8" max="8" width="51.5703125" style="16" customWidth="1"/>
    <col min="9" max="9" width="38" style="16" customWidth="1"/>
    <col min="10" max="257" width="9.140625" style="16"/>
    <col min="258" max="258" width="5.5703125" style="16" customWidth="1"/>
    <col min="259" max="259" width="19.7109375" style="16" customWidth="1"/>
    <col min="260" max="260" width="34.28515625" style="16" customWidth="1"/>
    <col min="261" max="262" width="13.5703125" style="16" customWidth="1"/>
    <col min="263" max="263" width="38.42578125" style="16" customWidth="1"/>
    <col min="264" max="264" width="26.42578125" style="16" customWidth="1"/>
    <col min="265" max="265" width="38" style="16" customWidth="1"/>
    <col min="266" max="513" width="9.140625" style="16"/>
    <col min="514" max="514" width="5.5703125" style="16" customWidth="1"/>
    <col min="515" max="515" width="19.7109375" style="16" customWidth="1"/>
    <col min="516" max="516" width="34.28515625" style="16" customWidth="1"/>
    <col min="517" max="518" width="13.5703125" style="16" customWidth="1"/>
    <col min="519" max="519" width="38.42578125" style="16" customWidth="1"/>
    <col min="520" max="520" width="26.42578125" style="16" customWidth="1"/>
    <col min="521" max="521" width="38" style="16" customWidth="1"/>
    <col min="522" max="769" width="9.140625" style="16"/>
    <col min="770" max="770" width="5.5703125" style="16" customWidth="1"/>
    <col min="771" max="771" width="19.7109375" style="16" customWidth="1"/>
    <col min="772" max="772" width="34.28515625" style="16" customWidth="1"/>
    <col min="773" max="774" width="13.5703125" style="16" customWidth="1"/>
    <col min="775" max="775" width="38.42578125" style="16" customWidth="1"/>
    <col min="776" max="776" width="26.42578125" style="16" customWidth="1"/>
    <col min="777" max="777" width="38" style="16" customWidth="1"/>
    <col min="778" max="1025" width="9.140625" style="16"/>
    <col min="1026" max="1026" width="5.5703125" style="16" customWidth="1"/>
    <col min="1027" max="1027" width="19.7109375" style="16" customWidth="1"/>
    <col min="1028" max="1028" width="34.28515625" style="16" customWidth="1"/>
    <col min="1029" max="1030" width="13.5703125" style="16" customWidth="1"/>
    <col min="1031" max="1031" width="38.42578125" style="16" customWidth="1"/>
    <col min="1032" max="1032" width="26.42578125" style="16" customWidth="1"/>
    <col min="1033" max="1033" width="38" style="16" customWidth="1"/>
    <col min="1034" max="1281" width="9.140625" style="16"/>
    <col min="1282" max="1282" width="5.5703125" style="16" customWidth="1"/>
    <col min="1283" max="1283" width="19.7109375" style="16" customWidth="1"/>
    <col min="1284" max="1284" width="34.28515625" style="16" customWidth="1"/>
    <col min="1285" max="1286" width="13.5703125" style="16" customWidth="1"/>
    <col min="1287" max="1287" width="38.42578125" style="16" customWidth="1"/>
    <col min="1288" max="1288" width="26.42578125" style="16" customWidth="1"/>
    <col min="1289" max="1289" width="38" style="16" customWidth="1"/>
    <col min="1290" max="1537" width="9.140625" style="16"/>
    <col min="1538" max="1538" width="5.5703125" style="16" customWidth="1"/>
    <col min="1539" max="1539" width="19.7109375" style="16" customWidth="1"/>
    <col min="1540" max="1540" width="34.28515625" style="16" customWidth="1"/>
    <col min="1541" max="1542" width="13.5703125" style="16" customWidth="1"/>
    <col min="1543" max="1543" width="38.42578125" style="16" customWidth="1"/>
    <col min="1544" max="1544" width="26.42578125" style="16" customWidth="1"/>
    <col min="1545" max="1545" width="38" style="16" customWidth="1"/>
    <col min="1546" max="1793" width="9.140625" style="16"/>
    <col min="1794" max="1794" width="5.5703125" style="16" customWidth="1"/>
    <col min="1795" max="1795" width="19.7109375" style="16" customWidth="1"/>
    <col min="1796" max="1796" width="34.28515625" style="16" customWidth="1"/>
    <col min="1797" max="1798" width="13.5703125" style="16" customWidth="1"/>
    <col min="1799" max="1799" width="38.42578125" style="16" customWidth="1"/>
    <col min="1800" max="1800" width="26.42578125" style="16" customWidth="1"/>
    <col min="1801" max="1801" width="38" style="16" customWidth="1"/>
    <col min="1802" max="2049" width="9.140625" style="16"/>
    <col min="2050" max="2050" width="5.5703125" style="16" customWidth="1"/>
    <col min="2051" max="2051" width="19.7109375" style="16" customWidth="1"/>
    <col min="2052" max="2052" width="34.28515625" style="16" customWidth="1"/>
    <col min="2053" max="2054" width="13.5703125" style="16" customWidth="1"/>
    <col min="2055" max="2055" width="38.42578125" style="16" customWidth="1"/>
    <col min="2056" max="2056" width="26.42578125" style="16" customWidth="1"/>
    <col min="2057" max="2057" width="38" style="16" customWidth="1"/>
    <col min="2058" max="2305" width="9.140625" style="16"/>
    <col min="2306" max="2306" width="5.5703125" style="16" customWidth="1"/>
    <col min="2307" max="2307" width="19.7109375" style="16" customWidth="1"/>
    <col min="2308" max="2308" width="34.28515625" style="16" customWidth="1"/>
    <col min="2309" max="2310" width="13.5703125" style="16" customWidth="1"/>
    <col min="2311" max="2311" width="38.42578125" style="16" customWidth="1"/>
    <col min="2312" max="2312" width="26.42578125" style="16" customWidth="1"/>
    <col min="2313" max="2313" width="38" style="16" customWidth="1"/>
    <col min="2314" max="2561" width="9.140625" style="16"/>
    <col min="2562" max="2562" width="5.5703125" style="16" customWidth="1"/>
    <col min="2563" max="2563" width="19.7109375" style="16" customWidth="1"/>
    <col min="2564" max="2564" width="34.28515625" style="16" customWidth="1"/>
    <col min="2565" max="2566" width="13.5703125" style="16" customWidth="1"/>
    <col min="2567" max="2567" width="38.42578125" style="16" customWidth="1"/>
    <col min="2568" max="2568" width="26.42578125" style="16" customWidth="1"/>
    <col min="2569" max="2569" width="38" style="16" customWidth="1"/>
    <col min="2570" max="2817" width="9.140625" style="16"/>
    <col min="2818" max="2818" width="5.5703125" style="16" customWidth="1"/>
    <col min="2819" max="2819" width="19.7109375" style="16" customWidth="1"/>
    <col min="2820" max="2820" width="34.28515625" style="16" customWidth="1"/>
    <col min="2821" max="2822" width="13.5703125" style="16" customWidth="1"/>
    <col min="2823" max="2823" width="38.42578125" style="16" customWidth="1"/>
    <col min="2824" max="2824" width="26.42578125" style="16" customWidth="1"/>
    <col min="2825" max="2825" width="38" style="16" customWidth="1"/>
    <col min="2826" max="3073" width="9.140625" style="16"/>
    <col min="3074" max="3074" width="5.5703125" style="16" customWidth="1"/>
    <col min="3075" max="3075" width="19.7109375" style="16" customWidth="1"/>
    <col min="3076" max="3076" width="34.28515625" style="16" customWidth="1"/>
    <col min="3077" max="3078" width="13.5703125" style="16" customWidth="1"/>
    <col min="3079" max="3079" width="38.42578125" style="16" customWidth="1"/>
    <col min="3080" max="3080" width="26.42578125" style="16" customWidth="1"/>
    <col min="3081" max="3081" width="38" style="16" customWidth="1"/>
    <col min="3082" max="3329" width="9.140625" style="16"/>
    <col min="3330" max="3330" width="5.5703125" style="16" customWidth="1"/>
    <col min="3331" max="3331" width="19.7109375" style="16" customWidth="1"/>
    <col min="3332" max="3332" width="34.28515625" style="16" customWidth="1"/>
    <col min="3333" max="3334" width="13.5703125" style="16" customWidth="1"/>
    <col min="3335" max="3335" width="38.42578125" style="16" customWidth="1"/>
    <col min="3336" max="3336" width="26.42578125" style="16" customWidth="1"/>
    <col min="3337" max="3337" width="38" style="16" customWidth="1"/>
    <col min="3338" max="3585" width="9.140625" style="16"/>
    <col min="3586" max="3586" width="5.5703125" style="16" customWidth="1"/>
    <col min="3587" max="3587" width="19.7109375" style="16" customWidth="1"/>
    <col min="3588" max="3588" width="34.28515625" style="16" customWidth="1"/>
    <col min="3589" max="3590" width="13.5703125" style="16" customWidth="1"/>
    <col min="3591" max="3591" width="38.42578125" style="16" customWidth="1"/>
    <col min="3592" max="3592" width="26.42578125" style="16" customWidth="1"/>
    <col min="3593" max="3593" width="38" style="16" customWidth="1"/>
    <col min="3594" max="3841" width="9.140625" style="16"/>
    <col min="3842" max="3842" width="5.5703125" style="16" customWidth="1"/>
    <col min="3843" max="3843" width="19.7109375" style="16" customWidth="1"/>
    <col min="3844" max="3844" width="34.28515625" style="16" customWidth="1"/>
    <col min="3845" max="3846" width="13.5703125" style="16" customWidth="1"/>
    <col min="3847" max="3847" width="38.42578125" style="16" customWidth="1"/>
    <col min="3848" max="3848" width="26.42578125" style="16" customWidth="1"/>
    <col min="3849" max="3849" width="38" style="16" customWidth="1"/>
    <col min="3850" max="4097" width="9.140625" style="16"/>
    <col min="4098" max="4098" width="5.5703125" style="16" customWidth="1"/>
    <col min="4099" max="4099" width="19.7109375" style="16" customWidth="1"/>
    <col min="4100" max="4100" width="34.28515625" style="16" customWidth="1"/>
    <col min="4101" max="4102" width="13.5703125" style="16" customWidth="1"/>
    <col min="4103" max="4103" width="38.42578125" style="16" customWidth="1"/>
    <col min="4104" max="4104" width="26.42578125" style="16" customWidth="1"/>
    <col min="4105" max="4105" width="38" style="16" customWidth="1"/>
    <col min="4106" max="4353" width="9.140625" style="16"/>
    <col min="4354" max="4354" width="5.5703125" style="16" customWidth="1"/>
    <col min="4355" max="4355" width="19.7109375" style="16" customWidth="1"/>
    <col min="4356" max="4356" width="34.28515625" style="16" customWidth="1"/>
    <col min="4357" max="4358" width="13.5703125" style="16" customWidth="1"/>
    <col min="4359" max="4359" width="38.42578125" style="16" customWidth="1"/>
    <col min="4360" max="4360" width="26.42578125" style="16" customWidth="1"/>
    <col min="4361" max="4361" width="38" style="16" customWidth="1"/>
    <col min="4362" max="4609" width="9.140625" style="16"/>
    <col min="4610" max="4610" width="5.5703125" style="16" customWidth="1"/>
    <col min="4611" max="4611" width="19.7109375" style="16" customWidth="1"/>
    <col min="4612" max="4612" width="34.28515625" style="16" customWidth="1"/>
    <col min="4613" max="4614" width="13.5703125" style="16" customWidth="1"/>
    <col min="4615" max="4615" width="38.42578125" style="16" customWidth="1"/>
    <col min="4616" max="4616" width="26.42578125" style="16" customWidth="1"/>
    <col min="4617" max="4617" width="38" style="16" customWidth="1"/>
    <col min="4618" max="4865" width="9.140625" style="16"/>
    <col min="4866" max="4866" width="5.5703125" style="16" customWidth="1"/>
    <col min="4867" max="4867" width="19.7109375" style="16" customWidth="1"/>
    <col min="4868" max="4868" width="34.28515625" style="16" customWidth="1"/>
    <col min="4869" max="4870" width="13.5703125" style="16" customWidth="1"/>
    <col min="4871" max="4871" width="38.42578125" style="16" customWidth="1"/>
    <col min="4872" max="4872" width="26.42578125" style="16" customWidth="1"/>
    <col min="4873" max="4873" width="38" style="16" customWidth="1"/>
    <col min="4874" max="5121" width="9.140625" style="16"/>
    <col min="5122" max="5122" width="5.5703125" style="16" customWidth="1"/>
    <col min="5123" max="5123" width="19.7109375" style="16" customWidth="1"/>
    <col min="5124" max="5124" width="34.28515625" style="16" customWidth="1"/>
    <col min="5125" max="5126" width="13.5703125" style="16" customWidth="1"/>
    <col min="5127" max="5127" width="38.42578125" style="16" customWidth="1"/>
    <col min="5128" max="5128" width="26.42578125" style="16" customWidth="1"/>
    <col min="5129" max="5129" width="38" style="16" customWidth="1"/>
    <col min="5130" max="5377" width="9.140625" style="16"/>
    <col min="5378" max="5378" width="5.5703125" style="16" customWidth="1"/>
    <col min="5379" max="5379" width="19.7109375" style="16" customWidth="1"/>
    <col min="5380" max="5380" width="34.28515625" style="16" customWidth="1"/>
    <col min="5381" max="5382" width="13.5703125" style="16" customWidth="1"/>
    <col min="5383" max="5383" width="38.42578125" style="16" customWidth="1"/>
    <col min="5384" max="5384" width="26.42578125" style="16" customWidth="1"/>
    <col min="5385" max="5385" width="38" style="16" customWidth="1"/>
    <col min="5386" max="5633" width="9.140625" style="16"/>
    <col min="5634" max="5634" width="5.5703125" style="16" customWidth="1"/>
    <col min="5635" max="5635" width="19.7109375" style="16" customWidth="1"/>
    <col min="5636" max="5636" width="34.28515625" style="16" customWidth="1"/>
    <col min="5637" max="5638" width="13.5703125" style="16" customWidth="1"/>
    <col min="5639" max="5639" width="38.42578125" style="16" customWidth="1"/>
    <col min="5640" max="5640" width="26.42578125" style="16" customWidth="1"/>
    <col min="5641" max="5641" width="38" style="16" customWidth="1"/>
    <col min="5642" max="5889" width="9.140625" style="16"/>
    <col min="5890" max="5890" width="5.5703125" style="16" customWidth="1"/>
    <col min="5891" max="5891" width="19.7109375" style="16" customWidth="1"/>
    <col min="5892" max="5892" width="34.28515625" style="16" customWidth="1"/>
    <col min="5893" max="5894" width="13.5703125" style="16" customWidth="1"/>
    <col min="5895" max="5895" width="38.42578125" style="16" customWidth="1"/>
    <col min="5896" max="5896" width="26.42578125" style="16" customWidth="1"/>
    <col min="5897" max="5897" width="38" style="16" customWidth="1"/>
    <col min="5898" max="6145" width="9.140625" style="16"/>
    <col min="6146" max="6146" width="5.5703125" style="16" customWidth="1"/>
    <col min="6147" max="6147" width="19.7109375" style="16" customWidth="1"/>
    <col min="6148" max="6148" width="34.28515625" style="16" customWidth="1"/>
    <col min="6149" max="6150" width="13.5703125" style="16" customWidth="1"/>
    <col min="6151" max="6151" width="38.42578125" style="16" customWidth="1"/>
    <col min="6152" max="6152" width="26.42578125" style="16" customWidth="1"/>
    <col min="6153" max="6153" width="38" style="16" customWidth="1"/>
    <col min="6154" max="6401" width="9.140625" style="16"/>
    <col min="6402" max="6402" width="5.5703125" style="16" customWidth="1"/>
    <col min="6403" max="6403" width="19.7109375" style="16" customWidth="1"/>
    <col min="6404" max="6404" width="34.28515625" style="16" customWidth="1"/>
    <col min="6405" max="6406" width="13.5703125" style="16" customWidth="1"/>
    <col min="6407" max="6407" width="38.42578125" style="16" customWidth="1"/>
    <col min="6408" max="6408" width="26.42578125" style="16" customWidth="1"/>
    <col min="6409" max="6409" width="38" style="16" customWidth="1"/>
    <col min="6410" max="6657" width="9.140625" style="16"/>
    <col min="6658" max="6658" width="5.5703125" style="16" customWidth="1"/>
    <col min="6659" max="6659" width="19.7109375" style="16" customWidth="1"/>
    <col min="6660" max="6660" width="34.28515625" style="16" customWidth="1"/>
    <col min="6661" max="6662" width="13.5703125" style="16" customWidth="1"/>
    <col min="6663" max="6663" width="38.42578125" style="16" customWidth="1"/>
    <col min="6664" max="6664" width="26.42578125" style="16" customWidth="1"/>
    <col min="6665" max="6665" width="38" style="16" customWidth="1"/>
    <col min="6666" max="6913" width="9.140625" style="16"/>
    <col min="6914" max="6914" width="5.5703125" style="16" customWidth="1"/>
    <col min="6915" max="6915" width="19.7109375" style="16" customWidth="1"/>
    <col min="6916" max="6916" width="34.28515625" style="16" customWidth="1"/>
    <col min="6917" max="6918" width="13.5703125" style="16" customWidth="1"/>
    <col min="6919" max="6919" width="38.42578125" style="16" customWidth="1"/>
    <col min="6920" max="6920" width="26.42578125" style="16" customWidth="1"/>
    <col min="6921" max="6921" width="38" style="16" customWidth="1"/>
    <col min="6922" max="7169" width="9.140625" style="16"/>
    <col min="7170" max="7170" width="5.5703125" style="16" customWidth="1"/>
    <col min="7171" max="7171" width="19.7109375" style="16" customWidth="1"/>
    <col min="7172" max="7172" width="34.28515625" style="16" customWidth="1"/>
    <col min="7173" max="7174" width="13.5703125" style="16" customWidth="1"/>
    <col min="7175" max="7175" width="38.42578125" style="16" customWidth="1"/>
    <col min="7176" max="7176" width="26.42578125" style="16" customWidth="1"/>
    <col min="7177" max="7177" width="38" style="16" customWidth="1"/>
    <col min="7178" max="7425" width="9.140625" style="16"/>
    <col min="7426" max="7426" width="5.5703125" style="16" customWidth="1"/>
    <col min="7427" max="7427" width="19.7109375" style="16" customWidth="1"/>
    <col min="7428" max="7428" width="34.28515625" style="16" customWidth="1"/>
    <col min="7429" max="7430" width="13.5703125" style="16" customWidth="1"/>
    <col min="7431" max="7431" width="38.42578125" style="16" customWidth="1"/>
    <col min="7432" max="7432" width="26.42578125" style="16" customWidth="1"/>
    <col min="7433" max="7433" width="38" style="16" customWidth="1"/>
    <col min="7434" max="7681" width="9.140625" style="16"/>
    <col min="7682" max="7682" width="5.5703125" style="16" customWidth="1"/>
    <col min="7683" max="7683" width="19.7109375" style="16" customWidth="1"/>
    <col min="7684" max="7684" width="34.28515625" style="16" customWidth="1"/>
    <col min="7685" max="7686" width="13.5703125" style="16" customWidth="1"/>
    <col min="7687" max="7687" width="38.42578125" style="16" customWidth="1"/>
    <col min="7688" max="7688" width="26.42578125" style="16" customWidth="1"/>
    <col min="7689" max="7689" width="38" style="16" customWidth="1"/>
    <col min="7690" max="7937" width="9.140625" style="16"/>
    <col min="7938" max="7938" width="5.5703125" style="16" customWidth="1"/>
    <col min="7939" max="7939" width="19.7109375" style="16" customWidth="1"/>
    <col min="7940" max="7940" width="34.28515625" style="16" customWidth="1"/>
    <col min="7941" max="7942" width="13.5703125" style="16" customWidth="1"/>
    <col min="7943" max="7943" width="38.42578125" style="16" customWidth="1"/>
    <col min="7944" max="7944" width="26.42578125" style="16" customWidth="1"/>
    <col min="7945" max="7945" width="38" style="16" customWidth="1"/>
    <col min="7946" max="8193" width="9.140625" style="16"/>
    <col min="8194" max="8194" width="5.5703125" style="16" customWidth="1"/>
    <col min="8195" max="8195" width="19.7109375" style="16" customWidth="1"/>
    <col min="8196" max="8196" width="34.28515625" style="16" customWidth="1"/>
    <col min="8197" max="8198" width="13.5703125" style="16" customWidth="1"/>
    <col min="8199" max="8199" width="38.42578125" style="16" customWidth="1"/>
    <col min="8200" max="8200" width="26.42578125" style="16" customWidth="1"/>
    <col min="8201" max="8201" width="38" style="16" customWidth="1"/>
    <col min="8202" max="8449" width="9.140625" style="16"/>
    <col min="8450" max="8450" width="5.5703125" style="16" customWidth="1"/>
    <col min="8451" max="8451" width="19.7109375" style="16" customWidth="1"/>
    <col min="8452" max="8452" width="34.28515625" style="16" customWidth="1"/>
    <col min="8453" max="8454" width="13.5703125" style="16" customWidth="1"/>
    <col min="8455" max="8455" width="38.42578125" style="16" customWidth="1"/>
    <col min="8456" max="8456" width="26.42578125" style="16" customWidth="1"/>
    <col min="8457" max="8457" width="38" style="16" customWidth="1"/>
    <col min="8458" max="8705" width="9.140625" style="16"/>
    <col min="8706" max="8706" width="5.5703125" style="16" customWidth="1"/>
    <col min="8707" max="8707" width="19.7109375" style="16" customWidth="1"/>
    <col min="8708" max="8708" width="34.28515625" style="16" customWidth="1"/>
    <col min="8709" max="8710" width="13.5703125" style="16" customWidth="1"/>
    <col min="8711" max="8711" width="38.42578125" style="16" customWidth="1"/>
    <col min="8712" max="8712" width="26.42578125" style="16" customWidth="1"/>
    <col min="8713" max="8713" width="38" style="16" customWidth="1"/>
    <col min="8714" max="8961" width="9.140625" style="16"/>
    <col min="8962" max="8962" width="5.5703125" style="16" customWidth="1"/>
    <col min="8963" max="8963" width="19.7109375" style="16" customWidth="1"/>
    <col min="8964" max="8964" width="34.28515625" style="16" customWidth="1"/>
    <col min="8965" max="8966" width="13.5703125" style="16" customWidth="1"/>
    <col min="8967" max="8967" width="38.42578125" style="16" customWidth="1"/>
    <col min="8968" max="8968" width="26.42578125" style="16" customWidth="1"/>
    <col min="8969" max="8969" width="38" style="16" customWidth="1"/>
    <col min="8970" max="9217" width="9.140625" style="16"/>
    <col min="9218" max="9218" width="5.5703125" style="16" customWidth="1"/>
    <col min="9219" max="9219" width="19.7109375" style="16" customWidth="1"/>
    <col min="9220" max="9220" width="34.28515625" style="16" customWidth="1"/>
    <col min="9221" max="9222" width="13.5703125" style="16" customWidth="1"/>
    <col min="9223" max="9223" width="38.42578125" style="16" customWidth="1"/>
    <col min="9224" max="9224" width="26.42578125" style="16" customWidth="1"/>
    <col min="9225" max="9225" width="38" style="16" customWidth="1"/>
    <col min="9226" max="9473" width="9.140625" style="16"/>
    <col min="9474" max="9474" width="5.5703125" style="16" customWidth="1"/>
    <col min="9475" max="9475" width="19.7109375" style="16" customWidth="1"/>
    <col min="9476" max="9476" width="34.28515625" style="16" customWidth="1"/>
    <col min="9477" max="9478" width="13.5703125" style="16" customWidth="1"/>
    <col min="9479" max="9479" width="38.42578125" style="16" customWidth="1"/>
    <col min="9480" max="9480" width="26.42578125" style="16" customWidth="1"/>
    <col min="9481" max="9481" width="38" style="16" customWidth="1"/>
    <col min="9482" max="9729" width="9.140625" style="16"/>
    <col min="9730" max="9730" width="5.5703125" style="16" customWidth="1"/>
    <col min="9731" max="9731" width="19.7109375" style="16" customWidth="1"/>
    <col min="9732" max="9732" width="34.28515625" style="16" customWidth="1"/>
    <col min="9733" max="9734" width="13.5703125" style="16" customWidth="1"/>
    <col min="9735" max="9735" width="38.42578125" style="16" customWidth="1"/>
    <col min="9736" max="9736" width="26.42578125" style="16" customWidth="1"/>
    <col min="9737" max="9737" width="38" style="16" customWidth="1"/>
    <col min="9738" max="9985" width="9.140625" style="16"/>
    <col min="9986" max="9986" width="5.5703125" style="16" customWidth="1"/>
    <col min="9987" max="9987" width="19.7109375" style="16" customWidth="1"/>
    <col min="9988" max="9988" width="34.28515625" style="16" customWidth="1"/>
    <col min="9989" max="9990" width="13.5703125" style="16" customWidth="1"/>
    <col min="9991" max="9991" width="38.42578125" style="16" customWidth="1"/>
    <col min="9992" max="9992" width="26.42578125" style="16" customWidth="1"/>
    <col min="9993" max="9993" width="38" style="16" customWidth="1"/>
    <col min="9994" max="10241" width="9.140625" style="16"/>
    <col min="10242" max="10242" width="5.5703125" style="16" customWidth="1"/>
    <col min="10243" max="10243" width="19.7109375" style="16" customWidth="1"/>
    <col min="10244" max="10244" width="34.28515625" style="16" customWidth="1"/>
    <col min="10245" max="10246" width="13.5703125" style="16" customWidth="1"/>
    <col min="10247" max="10247" width="38.42578125" style="16" customWidth="1"/>
    <col min="10248" max="10248" width="26.42578125" style="16" customWidth="1"/>
    <col min="10249" max="10249" width="38" style="16" customWidth="1"/>
    <col min="10250" max="10497" width="9.140625" style="16"/>
    <col min="10498" max="10498" width="5.5703125" style="16" customWidth="1"/>
    <col min="10499" max="10499" width="19.7109375" style="16" customWidth="1"/>
    <col min="10500" max="10500" width="34.28515625" style="16" customWidth="1"/>
    <col min="10501" max="10502" width="13.5703125" style="16" customWidth="1"/>
    <col min="10503" max="10503" width="38.42578125" style="16" customWidth="1"/>
    <col min="10504" max="10504" width="26.42578125" style="16" customWidth="1"/>
    <col min="10505" max="10505" width="38" style="16" customWidth="1"/>
    <col min="10506" max="10753" width="9.140625" style="16"/>
    <col min="10754" max="10754" width="5.5703125" style="16" customWidth="1"/>
    <col min="10755" max="10755" width="19.7109375" style="16" customWidth="1"/>
    <col min="10756" max="10756" width="34.28515625" style="16" customWidth="1"/>
    <col min="10757" max="10758" width="13.5703125" style="16" customWidth="1"/>
    <col min="10759" max="10759" width="38.42578125" style="16" customWidth="1"/>
    <col min="10760" max="10760" width="26.42578125" style="16" customWidth="1"/>
    <col min="10761" max="10761" width="38" style="16" customWidth="1"/>
    <col min="10762" max="11009" width="9.140625" style="16"/>
    <col min="11010" max="11010" width="5.5703125" style="16" customWidth="1"/>
    <col min="11011" max="11011" width="19.7109375" style="16" customWidth="1"/>
    <col min="11012" max="11012" width="34.28515625" style="16" customWidth="1"/>
    <col min="11013" max="11014" width="13.5703125" style="16" customWidth="1"/>
    <col min="11015" max="11015" width="38.42578125" style="16" customWidth="1"/>
    <col min="11016" max="11016" width="26.42578125" style="16" customWidth="1"/>
    <col min="11017" max="11017" width="38" style="16" customWidth="1"/>
    <col min="11018" max="11265" width="9.140625" style="16"/>
    <col min="11266" max="11266" width="5.5703125" style="16" customWidth="1"/>
    <col min="11267" max="11267" width="19.7109375" style="16" customWidth="1"/>
    <col min="11268" max="11268" width="34.28515625" style="16" customWidth="1"/>
    <col min="11269" max="11270" width="13.5703125" style="16" customWidth="1"/>
    <col min="11271" max="11271" width="38.42578125" style="16" customWidth="1"/>
    <col min="11272" max="11272" width="26.42578125" style="16" customWidth="1"/>
    <col min="11273" max="11273" width="38" style="16" customWidth="1"/>
    <col min="11274" max="11521" width="9.140625" style="16"/>
    <col min="11522" max="11522" width="5.5703125" style="16" customWidth="1"/>
    <col min="11523" max="11523" width="19.7109375" style="16" customWidth="1"/>
    <col min="11524" max="11524" width="34.28515625" style="16" customWidth="1"/>
    <col min="11525" max="11526" width="13.5703125" style="16" customWidth="1"/>
    <col min="11527" max="11527" width="38.42578125" style="16" customWidth="1"/>
    <col min="11528" max="11528" width="26.42578125" style="16" customWidth="1"/>
    <col min="11529" max="11529" width="38" style="16" customWidth="1"/>
    <col min="11530" max="11777" width="9.140625" style="16"/>
    <col min="11778" max="11778" width="5.5703125" style="16" customWidth="1"/>
    <col min="11779" max="11779" width="19.7109375" style="16" customWidth="1"/>
    <col min="11780" max="11780" width="34.28515625" style="16" customWidth="1"/>
    <col min="11781" max="11782" width="13.5703125" style="16" customWidth="1"/>
    <col min="11783" max="11783" width="38.42578125" style="16" customWidth="1"/>
    <col min="11784" max="11784" width="26.42578125" style="16" customWidth="1"/>
    <col min="11785" max="11785" width="38" style="16" customWidth="1"/>
    <col min="11786" max="12033" width="9.140625" style="16"/>
    <col min="12034" max="12034" width="5.5703125" style="16" customWidth="1"/>
    <col min="12035" max="12035" width="19.7109375" style="16" customWidth="1"/>
    <col min="12036" max="12036" width="34.28515625" style="16" customWidth="1"/>
    <col min="12037" max="12038" width="13.5703125" style="16" customWidth="1"/>
    <col min="12039" max="12039" width="38.42578125" style="16" customWidth="1"/>
    <col min="12040" max="12040" width="26.42578125" style="16" customWidth="1"/>
    <col min="12041" max="12041" width="38" style="16" customWidth="1"/>
    <col min="12042" max="12289" width="9.140625" style="16"/>
    <col min="12290" max="12290" width="5.5703125" style="16" customWidth="1"/>
    <col min="12291" max="12291" width="19.7109375" style="16" customWidth="1"/>
    <col min="12292" max="12292" width="34.28515625" style="16" customWidth="1"/>
    <col min="12293" max="12294" width="13.5703125" style="16" customWidth="1"/>
    <col min="12295" max="12295" width="38.42578125" style="16" customWidth="1"/>
    <col min="12296" max="12296" width="26.42578125" style="16" customWidth="1"/>
    <col min="12297" max="12297" width="38" style="16" customWidth="1"/>
    <col min="12298" max="12545" width="9.140625" style="16"/>
    <col min="12546" max="12546" width="5.5703125" style="16" customWidth="1"/>
    <col min="12547" max="12547" width="19.7109375" style="16" customWidth="1"/>
    <col min="12548" max="12548" width="34.28515625" style="16" customWidth="1"/>
    <col min="12549" max="12550" width="13.5703125" style="16" customWidth="1"/>
    <col min="12551" max="12551" width="38.42578125" style="16" customWidth="1"/>
    <col min="12552" max="12552" width="26.42578125" style="16" customWidth="1"/>
    <col min="12553" max="12553" width="38" style="16" customWidth="1"/>
    <col min="12554" max="12801" width="9.140625" style="16"/>
    <col min="12802" max="12802" width="5.5703125" style="16" customWidth="1"/>
    <col min="12803" max="12803" width="19.7109375" style="16" customWidth="1"/>
    <col min="12804" max="12804" width="34.28515625" style="16" customWidth="1"/>
    <col min="12805" max="12806" width="13.5703125" style="16" customWidth="1"/>
    <col min="12807" max="12807" width="38.42578125" style="16" customWidth="1"/>
    <col min="12808" max="12808" width="26.42578125" style="16" customWidth="1"/>
    <col min="12809" max="12809" width="38" style="16" customWidth="1"/>
    <col min="12810" max="13057" width="9.140625" style="16"/>
    <col min="13058" max="13058" width="5.5703125" style="16" customWidth="1"/>
    <col min="13059" max="13059" width="19.7109375" style="16" customWidth="1"/>
    <col min="13060" max="13060" width="34.28515625" style="16" customWidth="1"/>
    <col min="13061" max="13062" width="13.5703125" style="16" customWidth="1"/>
    <col min="13063" max="13063" width="38.42578125" style="16" customWidth="1"/>
    <col min="13064" max="13064" width="26.42578125" style="16" customWidth="1"/>
    <col min="13065" max="13065" width="38" style="16" customWidth="1"/>
    <col min="13066" max="13313" width="9.140625" style="16"/>
    <col min="13314" max="13314" width="5.5703125" style="16" customWidth="1"/>
    <col min="13315" max="13315" width="19.7109375" style="16" customWidth="1"/>
    <col min="13316" max="13316" width="34.28515625" style="16" customWidth="1"/>
    <col min="13317" max="13318" width="13.5703125" style="16" customWidth="1"/>
    <col min="13319" max="13319" width="38.42578125" style="16" customWidth="1"/>
    <col min="13320" max="13320" width="26.42578125" style="16" customWidth="1"/>
    <col min="13321" max="13321" width="38" style="16" customWidth="1"/>
    <col min="13322" max="13569" width="9.140625" style="16"/>
    <col min="13570" max="13570" width="5.5703125" style="16" customWidth="1"/>
    <col min="13571" max="13571" width="19.7109375" style="16" customWidth="1"/>
    <col min="13572" max="13572" width="34.28515625" style="16" customWidth="1"/>
    <col min="13573" max="13574" width="13.5703125" style="16" customWidth="1"/>
    <col min="13575" max="13575" width="38.42578125" style="16" customWidth="1"/>
    <col min="13576" max="13576" width="26.42578125" style="16" customWidth="1"/>
    <col min="13577" max="13577" width="38" style="16" customWidth="1"/>
    <col min="13578" max="13825" width="9.140625" style="16"/>
    <col min="13826" max="13826" width="5.5703125" style="16" customWidth="1"/>
    <col min="13827" max="13827" width="19.7109375" style="16" customWidth="1"/>
    <col min="13828" max="13828" width="34.28515625" style="16" customWidth="1"/>
    <col min="13829" max="13830" width="13.5703125" style="16" customWidth="1"/>
    <col min="13831" max="13831" width="38.42578125" style="16" customWidth="1"/>
    <col min="13832" max="13832" width="26.42578125" style="16" customWidth="1"/>
    <col min="13833" max="13833" width="38" style="16" customWidth="1"/>
    <col min="13834" max="14081" width="9.140625" style="16"/>
    <col min="14082" max="14082" width="5.5703125" style="16" customWidth="1"/>
    <col min="14083" max="14083" width="19.7109375" style="16" customWidth="1"/>
    <col min="14084" max="14084" width="34.28515625" style="16" customWidth="1"/>
    <col min="14085" max="14086" width="13.5703125" style="16" customWidth="1"/>
    <col min="14087" max="14087" width="38.42578125" style="16" customWidth="1"/>
    <col min="14088" max="14088" width="26.42578125" style="16" customWidth="1"/>
    <col min="14089" max="14089" width="38" style="16" customWidth="1"/>
    <col min="14090" max="14337" width="9.140625" style="16"/>
    <col min="14338" max="14338" width="5.5703125" style="16" customWidth="1"/>
    <col min="14339" max="14339" width="19.7109375" style="16" customWidth="1"/>
    <col min="14340" max="14340" width="34.28515625" style="16" customWidth="1"/>
    <col min="14341" max="14342" width="13.5703125" style="16" customWidth="1"/>
    <col min="14343" max="14343" width="38.42578125" style="16" customWidth="1"/>
    <col min="14344" max="14344" width="26.42578125" style="16" customWidth="1"/>
    <col min="14345" max="14345" width="38" style="16" customWidth="1"/>
    <col min="14346" max="14593" width="9.140625" style="16"/>
    <col min="14594" max="14594" width="5.5703125" style="16" customWidth="1"/>
    <col min="14595" max="14595" width="19.7109375" style="16" customWidth="1"/>
    <col min="14596" max="14596" width="34.28515625" style="16" customWidth="1"/>
    <col min="14597" max="14598" width="13.5703125" style="16" customWidth="1"/>
    <col min="14599" max="14599" width="38.42578125" style="16" customWidth="1"/>
    <col min="14600" max="14600" width="26.42578125" style="16" customWidth="1"/>
    <col min="14601" max="14601" width="38" style="16" customWidth="1"/>
    <col min="14602" max="14849" width="9.140625" style="16"/>
    <col min="14850" max="14850" width="5.5703125" style="16" customWidth="1"/>
    <col min="14851" max="14851" width="19.7109375" style="16" customWidth="1"/>
    <col min="14852" max="14852" width="34.28515625" style="16" customWidth="1"/>
    <col min="14853" max="14854" width="13.5703125" style="16" customWidth="1"/>
    <col min="14855" max="14855" width="38.42578125" style="16" customWidth="1"/>
    <col min="14856" max="14856" width="26.42578125" style="16" customWidth="1"/>
    <col min="14857" max="14857" width="38" style="16" customWidth="1"/>
    <col min="14858" max="15105" width="9.140625" style="16"/>
    <col min="15106" max="15106" width="5.5703125" style="16" customWidth="1"/>
    <col min="15107" max="15107" width="19.7109375" style="16" customWidth="1"/>
    <col min="15108" max="15108" width="34.28515625" style="16" customWidth="1"/>
    <col min="15109" max="15110" width="13.5703125" style="16" customWidth="1"/>
    <col min="15111" max="15111" width="38.42578125" style="16" customWidth="1"/>
    <col min="15112" max="15112" width="26.42578125" style="16" customWidth="1"/>
    <col min="15113" max="15113" width="38" style="16" customWidth="1"/>
    <col min="15114" max="15361" width="9.140625" style="16"/>
    <col min="15362" max="15362" width="5.5703125" style="16" customWidth="1"/>
    <col min="15363" max="15363" width="19.7109375" style="16" customWidth="1"/>
    <col min="15364" max="15364" width="34.28515625" style="16" customWidth="1"/>
    <col min="15365" max="15366" width="13.5703125" style="16" customWidth="1"/>
    <col min="15367" max="15367" width="38.42578125" style="16" customWidth="1"/>
    <col min="15368" max="15368" width="26.42578125" style="16" customWidth="1"/>
    <col min="15369" max="15369" width="38" style="16" customWidth="1"/>
    <col min="15370" max="15617" width="9.140625" style="16"/>
    <col min="15618" max="15618" width="5.5703125" style="16" customWidth="1"/>
    <col min="15619" max="15619" width="19.7109375" style="16" customWidth="1"/>
    <col min="15620" max="15620" width="34.28515625" style="16" customWidth="1"/>
    <col min="15621" max="15622" width="13.5703125" style="16" customWidth="1"/>
    <col min="15623" max="15623" width="38.42578125" style="16" customWidth="1"/>
    <col min="15624" max="15624" width="26.42578125" style="16" customWidth="1"/>
    <col min="15625" max="15625" width="38" style="16" customWidth="1"/>
    <col min="15626" max="15873" width="9.140625" style="16"/>
    <col min="15874" max="15874" width="5.5703125" style="16" customWidth="1"/>
    <col min="15875" max="15875" width="19.7109375" style="16" customWidth="1"/>
    <col min="15876" max="15876" width="34.28515625" style="16" customWidth="1"/>
    <col min="15877" max="15878" width="13.5703125" style="16" customWidth="1"/>
    <col min="15879" max="15879" width="38.42578125" style="16" customWidth="1"/>
    <col min="15880" max="15880" width="26.42578125" style="16" customWidth="1"/>
    <col min="15881" max="15881" width="38" style="16" customWidth="1"/>
    <col min="15882" max="16129" width="9.140625" style="16"/>
    <col min="16130" max="16130" width="5.5703125" style="16" customWidth="1"/>
    <col min="16131" max="16131" width="19.7109375" style="16" customWidth="1"/>
    <col min="16132" max="16132" width="34.28515625" style="16" customWidth="1"/>
    <col min="16133" max="16134" width="13.5703125" style="16" customWidth="1"/>
    <col min="16135" max="16135" width="38.42578125" style="16" customWidth="1"/>
    <col min="16136" max="16136" width="26.42578125" style="16" customWidth="1"/>
    <col min="16137" max="16137" width="38" style="16" customWidth="1"/>
    <col min="16138" max="16384" width="9.140625" style="16"/>
  </cols>
  <sheetData>
    <row r="1" spans="1:9" ht="12" thickBot="1" x14ac:dyDescent="0.25">
      <c r="A1" s="114"/>
      <c r="B1" s="114"/>
      <c r="C1" s="114"/>
      <c r="D1" s="114"/>
      <c r="E1" s="114">
        <v>1</v>
      </c>
      <c r="F1" s="114"/>
      <c r="G1" s="114"/>
      <c r="H1" s="114"/>
      <c r="I1" s="114"/>
    </row>
    <row r="2" spans="1:9" ht="14.25" x14ac:dyDescent="0.2">
      <c r="A2" s="49"/>
      <c r="B2" s="50" t="s">
        <v>42</v>
      </c>
      <c r="C2" s="50" t="s">
        <v>43</v>
      </c>
      <c r="D2" s="121" t="s">
        <v>66</v>
      </c>
      <c r="E2" s="121"/>
      <c r="F2" s="50" t="s">
        <v>45</v>
      </c>
      <c r="G2" s="50"/>
      <c r="H2" s="50"/>
      <c r="I2" s="51"/>
    </row>
    <row r="3" spans="1:9" ht="45" thickBot="1" x14ac:dyDescent="0.25">
      <c r="A3" s="82" t="s">
        <v>46</v>
      </c>
      <c r="B3" s="83" t="s">
        <v>47</v>
      </c>
      <c r="C3" s="83" t="s">
        <v>12</v>
      </c>
      <c r="D3" s="84" t="s">
        <v>48</v>
      </c>
      <c r="E3" s="84" t="s">
        <v>49</v>
      </c>
      <c r="F3" s="83" t="s">
        <v>50</v>
      </c>
      <c r="G3" s="83" t="s">
        <v>120</v>
      </c>
      <c r="H3" s="83" t="s">
        <v>51</v>
      </c>
      <c r="I3" s="85" t="s">
        <v>52</v>
      </c>
    </row>
    <row r="4" spans="1:9" ht="14.25" x14ac:dyDescent="0.2">
      <c r="A4" s="115"/>
      <c r="B4" s="116" t="str">
        <f>'КВ 1'!B12</f>
        <v>-</v>
      </c>
      <c r="C4" s="117" t="str">
        <f>'КВ 1'!C12</f>
        <v>Гайка-заклепка М5x13x0.8 A2</v>
      </c>
      <c r="D4" s="118">
        <f>'КВ 1'!D12</f>
        <v>9</v>
      </c>
      <c r="E4" s="118">
        <f>'КВ 1'!E12</f>
        <v>0</v>
      </c>
      <c r="F4" s="116" t="str">
        <f>'КВ 1'!F12</f>
        <v>Детали (покупное изделие)</v>
      </c>
      <c r="G4" s="116" t="str">
        <f>'КВ 1'!G12</f>
        <v>Делатель раз</v>
      </c>
      <c r="H4" s="119">
        <f>'КВ 1'!H12</f>
        <v>0</v>
      </c>
      <c r="I4" s="120">
        <f>'КВ 1'!I12</f>
        <v>0</v>
      </c>
    </row>
    <row r="5" spans="1:9" ht="14.25" x14ac:dyDescent="0.2">
      <c r="A5" s="91"/>
      <c r="B5" s="78" t="str">
        <f>'КВ 1'!B17</f>
        <v>-</v>
      </c>
      <c r="C5" s="80" t="str">
        <f>'КВ 1'!C17</f>
        <v>Шпилька приварная M5x15x0.8 A2</v>
      </c>
      <c r="D5" s="81">
        <f>'КВ 1'!D17</f>
        <v>4</v>
      </c>
      <c r="E5" s="81">
        <f>'КВ 1'!E17</f>
        <v>0</v>
      </c>
      <c r="F5" s="81" t="str">
        <f>'КВ 1'!F17</f>
        <v>Детали (покупное изделие)</v>
      </c>
      <c r="G5" s="78" t="str">
        <f>'КВ 1'!G17</f>
        <v>Делатель раз</v>
      </c>
      <c r="H5" s="81">
        <f>'КВ 1'!H17</f>
        <v>0</v>
      </c>
      <c r="I5" s="93">
        <f>'КВ 1'!I17</f>
        <v>0</v>
      </c>
    </row>
    <row r="6" spans="1:9" ht="14.25" x14ac:dyDescent="0.2">
      <c r="A6" s="91"/>
      <c r="B6" s="78" t="str">
        <f>'КВ 1'!B18</f>
        <v>-</v>
      </c>
      <c r="C6" s="80" t="str">
        <f>'КВ 1'!C18</f>
        <v>Шайба DIN 125 M5 A2</v>
      </c>
      <c r="D6" s="81">
        <f>'КВ 1'!D18</f>
        <v>2</v>
      </c>
      <c r="E6" s="81">
        <f>'КВ 1'!E18</f>
        <v>0</v>
      </c>
      <c r="F6" s="81" t="str">
        <f>'КВ 1'!F18</f>
        <v>Детали (покупное изделие)</v>
      </c>
      <c r="G6" s="78" t="str">
        <f>'КВ 1'!G18</f>
        <v>Делатель раз</v>
      </c>
      <c r="H6" s="81">
        <f>'КВ 1'!H18</f>
        <v>0</v>
      </c>
      <c r="I6" s="93">
        <f>'КВ 1'!I18</f>
        <v>0</v>
      </c>
    </row>
    <row r="7" spans="1:9" ht="14.25" x14ac:dyDescent="0.2">
      <c r="A7" s="91"/>
      <c r="B7" s="78" t="str">
        <f>'КВ 1'!B19</f>
        <v>-</v>
      </c>
      <c r="C7" s="80" t="str">
        <f>'КВ 1'!C19</f>
        <v>Шайба-гровер DIN 127 M5 A2</v>
      </c>
      <c r="D7" s="81">
        <f>'КВ 1'!D19</f>
        <v>2</v>
      </c>
      <c r="E7" s="81">
        <f>'КВ 1'!E19</f>
        <v>0</v>
      </c>
      <c r="F7" s="81" t="str">
        <f>'КВ 1'!F19</f>
        <v>Детали (покупное изделие)</v>
      </c>
      <c r="G7" s="78" t="str">
        <f>'КВ 1'!G19</f>
        <v>Делатель раз</v>
      </c>
      <c r="H7" s="81">
        <f>'КВ 1'!H19</f>
        <v>0</v>
      </c>
      <c r="I7" s="93">
        <f>'КВ 1'!I19</f>
        <v>0</v>
      </c>
    </row>
    <row r="8" spans="1:9" ht="14.25" x14ac:dyDescent="0.2">
      <c r="A8" s="91"/>
      <c r="B8" s="78" t="str">
        <f>'КВ 1'!B20</f>
        <v>-</v>
      </c>
      <c r="C8" s="80" t="str">
        <f>'КВ 1'!C20</f>
        <v>Гайка DIN 934 M5x0.8 A2</v>
      </c>
      <c r="D8" s="81">
        <f>'КВ 1'!D20</f>
        <v>2</v>
      </c>
      <c r="E8" s="81">
        <f>'КВ 1'!E20</f>
        <v>0</v>
      </c>
      <c r="F8" s="81" t="str">
        <f>'КВ 1'!F20</f>
        <v>Детали (покупное изделие)</v>
      </c>
      <c r="G8" s="78" t="str">
        <f>'КВ 1'!G20</f>
        <v>Делатель раз</v>
      </c>
      <c r="H8" s="81">
        <f>'КВ 1'!H20</f>
        <v>0</v>
      </c>
      <c r="I8" s="93">
        <f>'КВ 1'!I20</f>
        <v>0</v>
      </c>
    </row>
    <row r="9" spans="1:9" ht="14.25" x14ac:dyDescent="0.2">
      <c r="A9" s="91"/>
      <c r="B9" s="78" t="str">
        <f>'КВ 1'!B23</f>
        <v>-</v>
      </c>
      <c r="C9" s="80" t="str">
        <f>'КВ 1'!C23</f>
        <v>Динамик</v>
      </c>
      <c r="D9" s="81">
        <f>'КВ 1'!D23</f>
        <v>1</v>
      </c>
      <c r="E9" s="81">
        <f>'КВ 1'!E23</f>
        <v>0</v>
      </c>
      <c r="F9" s="81" t="str">
        <f>'КВ 1'!F23</f>
        <v>Сборочная единица (покупное изделие)</v>
      </c>
      <c r="G9" s="78" t="str">
        <f>'КВ 1'!G23</f>
        <v>Делатель раз</v>
      </c>
      <c r="H9" s="81">
        <f>'КВ 1'!H23</f>
        <v>0</v>
      </c>
      <c r="I9" s="93">
        <f>'КВ 1'!I23</f>
        <v>0</v>
      </c>
    </row>
    <row r="10" spans="1:9" ht="14.25" x14ac:dyDescent="0.2">
      <c r="A10" s="91"/>
      <c r="B10" s="78" t="str">
        <f>'КВ 1'!B25</f>
        <v>-</v>
      </c>
      <c r="C10" s="80" t="str">
        <f>'КВ 1'!C25</f>
        <v>Винт DIN 7500 M3x10x0.5 A2</v>
      </c>
      <c r="D10" s="81">
        <f>'КВ 1'!D25</f>
        <v>4</v>
      </c>
      <c r="E10" s="81">
        <f>'КВ 1'!E25</f>
        <v>0</v>
      </c>
      <c r="F10" s="81" t="str">
        <f>'КВ 1'!F25</f>
        <v>Детали (покупное изделие)</v>
      </c>
      <c r="G10" s="78" t="str">
        <f>'КВ 1'!G25</f>
        <v>Делатель раз</v>
      </c>
      <c r="H10" s="81">
        <f>'КВ 1'!H25</f>
        <v>0</v>
      </c>
      <c r="I10" s="93">
        <f>'КВ 1'!I25</f>
        <v>0</v>
      </c>
    </row>
    <row r="11" spans="1:9" ht="14.25" x14ac:dyDescent="0.2">
      <c r="A11" s="91"/>
      <c r="B11" s="78" t="str">
        <f>'КВ 1'!B27</f>
        <v>-</v>
      </c>
      <c r="C11" s="80" t="str">
        <f>'КВ 1'!C27</f>
        <v>Шайба DIN 125 M5 A2</v>
      </c>
      <c r="D11" s="81">
        <f>'КВ 1'!D27</f>
        <v>2</v>
      </c>
      <c r="E11" s="81">
        <f>'КВ 1'!E27</f>
        <v>0</v>
      </c>
      <c r="F11" s="81" t="str">
        <f>'КВ 1'!F27</f>
        <v>Детали (покупное изделие)</v>
      </c>
      <c r="G11" s="78" t="str">
        <f>'КВ 1'!G27</f>
        <v>Делатель раз</v>
      </c>
      <c r="H11" s="81">
        <f>'КВ 1'!H27</f>
        <v>0</v>
      </c>
      <c r="I11" s="93">
        <f>'КВ 1'!I27</f>
        <v>0</v>
      </c>
    </row>
    <row r="12" spans="1:9" ht="14.25" x14ac:dyDescent="0.2">
      <c r="A12" s="91"/>
      <c r="B12" s="78" t="str">
        <f>'КВ 1'!B28</f>
        <v>-</v>
      </c>
      <c r="C12" s="80" t="str">
        <f>'КВ 1'!C28</f>
        <v>Шайба-гровер DIN 127 M5 A2</v>
      </c>
      <c r="D12" s="81">
        <f>'КВ 1'!D28</f>
        <v>2</v>
      </c>
      <c r="E12" s="81">
        <f>'КВ 1'!E28</f>
        <v>0</v>
      </c>
      <c r="F12" s="81" t="str">
        <f>'КВ 1'!F28</f>
        <v>Детали (покупное изделие)</v>
      </c>
      <c r="G12" s="78" t="str">
        <f>'КВ 1'!G28</f>
        <v>Делатель раз</v>
      </c>
      <c r="H12" s="81">
        <f>'КВ 1'!H28</f>
        <v>0</v>
      </c>
      <c r="I12" s="93">
        <f>'КВ 1'!I28</f>
        <v>0</v>
      </c>
    </row>
    <row r="13" spans="1:9" ht="14.25" x14ac:dyDescent="0.2">
      <c r="A13" s="91"/>
      <c r="B13" s="78" t="str">
        <f>'КВ 1'!B29</f>
        <v>-</v>
      </c>
      <c r="C13" s="80" t="str">
        <f>'КВ 1'!C29</f>
        <v>Гайка DIN 934 M5x0.8 A2</v>
      </c>
      <c r="D13" s="81">
        <f>'КВ 1'!D29</f>
        <v>2</v>
      </c>
      <c r="E13" s="81">
        <f>'КВ 1'!E29</f>
        <v>0</v>
      </c>
      <c r="F13" s="81" t="str">
        <f>'КВ 1'!F29</f>
        <v>Детали (покупное изделие)</v>
      </c>
      <c r="G13" s="78" t="str">
        <f>'КВ 1'!G29</f>
        <v>Делатель раз</v>
      </c>
      <c r="H13" s="81">
        <f>'КВ 1'!H29</f>
        <v>0</v>
      </c>
      <c r="I13" s="93">
        <f>'КВ 1'!I29</f>
        <v>0</v>
      </c>
    </row>
    <row r="14" spans="1:9" ht="14.25" x14ac:dyDescent="0.2">
      <c r="A14" s="91"/>
      <c r="B14" s="78" t="str">
        <f>'КВ 1'!B30</f>
        <v>-</v>
      </c>
      <c r="C14" s="80" t="str">
        <f>'КВ 1'!C30</f>
        <v>Винт DIN 7500 M3x10x0.5 A2</v>
      </c>
      <c r="D14" s="81">
        <f>'КВ 1'!D30</f>
        <v>2</v>
      </c>
      <c r="E14" s="81">
        <f>'КВ 1'!E30</f>
        <v>0</v>
      </c>
      <c r="F14" s="81" t="str">
        <f>'КВ 1'!F30</f>
        <v>Детали (покупное изделие)</v>
      </c>
      <c r="G14" s="78" t="str">
        <f>'КВ 1'!G30</f>
        <v>Делатель раз</v>
      </c>
      <c r="H14" s="81">
        <f>'КВ 1'!H30</f>
        <v>0</v>
      </c>
      <c r="I14" s="93">
        <f>'КВ 1'!I30</f>
        <v>0</v>
      </c>
    </row>
    <row r="15" spans="1:9" ht="14.25" x14ac:dyDescent="0.2">
      <c r="A15" s="91"/>
      <c r="B15" s="81" t="str">
        <f>'КВ 1'!B34</f>
        <v>-</v>
      </c>
      <c r="C15" s="80" t="str">
        <f>'КВ 1'!C34</f>
        <v>Приварная гайка DIN 929 M5x0.8 A2</v>
      </c>
      <c r="D15" s="81">
        <f>'КВ 1'!D34</f>
        <v>7</v>
      </c>
      <c r="E15" s="81">
        <f>'КВ 1'!E34</f>
        <v>0</v>
      </c>
      <c r="F15" s="81" t="str">
        <f>'КВ 1'!F34</f>
        <v>Детали (покупное изделие)</v>
      </c>
      <c r="G15" s="78" t="str">
        <f>'КВ 1'!G34</f>
        <v>Делатель раз</v>
      </c>
      <c r="H15" s="81">
        <f>'КВ 1'!H34</f>
        <v>0</v>
      </c>
      <c r="I15" s="93">
        <f>'КВ 1'!I34</f>
        <v>0</v>
      </c>
    </row>
    <row r="16" spans="1:9" ht="14.25" x14ac:dyDescent="0.2">
      <c r="A16" s="91"/>
      <c r="B16" s="78" t="str">
        <f>'КВ 1'!B35</f>
        <v>-</v>
      </c>
      <c r="C16" s="79" t="str">
        <f>'КВ 1'!C35</f>
        <v>Петля</v>
      </c>
      <c r="D16" s="52">
        <f>'КВ 1'!D35</f>
        <v>2</v>
      </c>
      <c r="E16" s="52">
        <f>'КВ 1'!E35</f>
        <v>0</v>
      </c>
      <c r="F16" s="78" t="str">
        <f>'КВ 1'!F35</f>
        <v>Сборочная единица (покупное изделие)</v>
      </c>
      <c r="G16" s="78" t="str">
        <f>'КВ 1'!G35</f>
        <v>Делатель раз</v>
      </c>
      <c r="H16" s="81">
        <f>'КВ 1'!H35</f>
        <v>0</v>
      </c>
      <c r="I16" s="93">
        <f>'КВ 1'!I35</f>
        <v>0</v>
      </c>
    </row>
    <row r="17" spans="1:9" ht="14.25" x14ac:dyDescent="0.2">
      <c r="A17" s="91"/>
      <c r="B17" s="81" t="str">
        <f>'КВ 1'!B47</f>
        <v>-</v>
      </c>
      <c r="C17" s="79" t="str">
        <f>'КВ 1'!C47</f>
        <v>Гайка DIN 934 M3x0.5 A2</v>
      </c>
      <c r="D17" s="52">
        <f>'КВ 1'!D47</f>
        <v>4</v>
      </c>
      <c r="E17" s="52">
        <f>'КВ 1'!E47</f>
        <v>0</v>
      </c>
      <c r="F17" s="81" t="str">
        <f>'КВ 1'!F47</f>
        <v>Детали (покупное изделие)</v>
      </c>
      <c r="G17" s="78" t="str">
        <f>'КВ 1'!G47</f>
        <v>Делатель раз</v>
      </c>
      <c r="H17" s="78">
        <f>'КВ 1'!H47</f>
        <v>0</v>
      </c>
      <c r="I17" s="93">
        <f>'КВ 1'!I47</f>
        <v>0</v>
      </c>
    </row>
    <row r="18" spans="1:9" ht="14.25" x14ac:dyDescent="0.2">
      <c r="A18" s="91"/>
      <c r="B18" s="81" t="str">
        <f>'КВ 1'!B48</f>
        <v>-</v>
      </c>
      <c r="C18" s="79" t="str">
        <f>'КВ 1'!C48</f>
        <v>Винт DIN 965 M5x12x0.8 A2</v>
      </c>
      <c r="D18" s="52">
        <f>'КВ 1'!D48</f>
        <v>7</v>
      </c>
      <c r="E18" s="52">
        <f>'КВ 1'!E48</f>
        <v>0</v>
      </c>
      <c r="F18" s="81" t="str">
        <f>'КВ 1'!F48</f>
        <v>Детали (покупное изделие)</v>
      </c>
      <c r="G18" s="78" t="str">
        <f>'КВ 1'!G48</f>
        <v>Делатель раз</v>
      </c>
      <c r="H18" s="78">
        <f>'КВ 1'!H48</f>
        <v>0</v>
      </c>
      <c r="I18" s="92">
        <f>'КВ 1'!I48</f>
        <v>0</v>
      </c>
    </row>
    <row r="19" spans="1:9" ht="14.25" x14ac:dyDescent="0.2">
      <c r="A19" s="91"/>
      <c r="B19" s="78" t="str">
        <f>'КВ 1'!B50</f>
        <v>GG.WP.322.C.0001.0081СБ</v>
      </c>
      <c r="C19" s="79" t="str">
        <f>'КВ 1'!C50</f>
        <v>Замок</v>
      </c>
      <c r="D19" s="52">
        <f>'КВ 1'!D50</f>
        <v>1</v>
      </c>
      <c r="E19" s="52">
        <f>'КВ 1'!E50</f>
        <v>0</v>
      </c>
      <c r="F19" s="78" t="str">
        <f>'КВ 1'!F50</f>
        <v>Сборочная единица (покупное изделие)</v>
      </c>
      <c r="G19" s="78" t="str">
        <f>'КВ 1'!G50</f>
        <v>Делатель два</v>
      </c>
      <c r="H19" s="81">
        <f>'КВ 1'!H50</f>
        <v>0</v>
      </c>
      <c r="I19" s="92">
        <f>'КВ 1'!I50</f>
        <v>0</v>
      </c>
    </row>
    <row r="20" spans="1:9" ht="14.25" x14ac:dyDescent="0.2">
      <c r="A20" s="91"/>
      <c r="B20" s="78" t="str">
        <f>'КВ 1'!B52</f>
        <v>-</v>
      </c>
      <c r="C20" s="79" t="str">
        <f>'КВ 1'!C52</f>
        <v>Гайка-заклепка М5x13x0.8 A2</v>
      </c>
      <c r="D20" s="52">
        <f>'КВ 1'!D52</f>
        <v>4</v>
      </c>
      <c r="E20" s="52">
        <f>'КВ 1'!E52</f>
        <v>0</v>
      </c>
      <c r="F20" s="78" t="str">
        <f>'КВ 1'!F52</f>
        <v>Детали (покупное изделие)</v>
      </c>
      <c r="G20" s="78" t="str">
        <f>'КВ 1'!G52</f>
        <v>Делатель два</v>
      </c>
      <c r="H20" s="81">
        <f>'КВ 1'!H52</f>
        <v>0</v>
      </c>
      <c r="I20" s="92">
        <f>'КВ 1'!I52</f>
        <v>0</v>
      </c>
    </row>
    <row r="21" spans="1:9" ht="14.25" x14ac:dyDescent="0.2">
      <c r="A21" s="91"/>
      <c r="B21" s="78" t="str">
        <f>'КВ 1'!B53</f>
        <v>-</v>
      </c>
      <c r="C21" s="80" t="str">
        <f>'КВ 1'!C53</f>
        <v>Винт DIN 912 M4x12x0.7 A2</v>
      </c>
      <c r="D21" s="81">
        <f>'КВ 1'!D53</f>
        <v>4</v>
      </c>
      <c r="E21" s="81">
        <f>'КВ 1'!E53</f>
        <v>0</v>
      </c>
      <c r="F21" s="78" t="str">
        <f>'КВ 1'!F53</f>
        <v>Детали (покупное изделие)</v>
      </c>
      <c r="G21" s="78" t="str">
        <f>'КВ 1'!G53</f>
        <v>Делатель два</v>
      </c>
      <c r="H21" s="81">
        <f>'КВ 1'!H53</f>
        <v>0</v>
      </c>
      <c r="I21" s="92">
        <f>'КВ 1'!I53</f>
        <v>0</v>
      </c>
    </row>
    <row r="22" spans="1:9" ht="14.25" x14ac:dyDescent="0.2">
      <c r="A22" s="91"/>
      <c r="B22" s="78" t="str">
        <f>'КВ 1'!B56</f>
        <v>-</v>
      </c>
      <c r="C22" s="80" t="str">
        <f>'КВ 1'!C56</f>
        <v>Неодимовый магнит (диск) 15х3 с зенковкой 4.5x7.5</v>
      </c>
      <c r="D22" s="81">
        <f>'КВ 1'!D56</f>
        <v>2</v>
      </c>
      <c r="E22" s="81">
        <f>'КВ 1'!E56</f>
        <v>0</v>
      </c>
      <c r="F22" s="78" t="str">
        <f>'КВ 1'!F56</f>
        <v>Детали (покупное изделие)</v>
      </c>
      <c r="G22" s="78" t="str">
        <f>'КВ 1'!G56</f>
        <v>Делатель два</v>
      </c>
      <c r="H22" s="81">
        <f>'КВ 1'!H56</f>
        <v>0</v>
      </c>
      <c r="I22" s="92">
        <f>'КВ 1'!I56</f>
        <v>0</v>
      </c>
    </row>
    <row r="23" spans="1:9" ht="14.25" x14ac:dyDescent="0.2">
      <c r="A23" s="91"/>
      <c r="B23" s="78" t="str">
        <f>'КВ 1'!B57</f>
        <v>-</v>
      </c>
      <c r="C23" s="80" t="str">
        <f>'КВ 1'!C57</f>
        <v>Приварная гайка DIN 929 M4x0.7 ZN</v>
      </c>
      <c r="D23" s="81">
        <f>'КВ 1'!D57</f>
        <v>2</v>
      </c>
      <c r="E23" s="81">
        <f>'КВ 1'!E57</f>
        <v>0</v>
      </c>
      <c r="F23" s="78" t="str">
        <f>'КВ 1'!F57</f>
        <v>Детали (покупное изделие)</v>
      </c>
      <c r="G23" s="78" t="str">
        <f>'КВ 1'!G57</f>
        <v>Делатель два</v>
      </c>
      <c r="H23" s="81">
        <f>'КВ 1'!H57</f>
        <v>0</v>
      </c>
      <c r="I23" s="92">
        <f>'КВ 1'!I57</f>
        <v>0</v>
      </c>
    </row>
    <row r="24" spans="1:9" ht="14.25" x14ac:dyDescent="0.2">
      <c r="A24" s="91"/>
      <c r="B24" s="78" t="str">
        <f>'КВ 1'!B58</f>
        <v>-</v>
      </c>
      <c r="C24" s="80" t="str">
        <f>'КВ 1'!C58</f>
        <v>Винт DIN 929 M4x0.7 ZN</v>
      </c>
      <c r="D24" s="81">
        <f>'КВ 1'!D58</f>
        <v>2</v>
      </c>
      <c r="E24" s="81">
        <f>'КВ 1'!E58</f>
        <v>0</v>
      </c>
      <c r="F24" s="78" t="str">
        <f>'КВ 1'!F58</f>
        <v>Детали (покупное изделие)</v>
      </c>
      <c r="G24" s="78" t="str">
        <f>'КВ 1'!G58</f>
        <v>Делатель два</v>
      </c>
      <c r="H24" s="81">
        <f>'КВ 1'!H58</f>
        <v>0</v>
      </c>
      <c r="I24" s="92">
        <f>'КВ 1'!I58</f>
        <v>0</v>
      </c>
    </row>
    <row r="25" spans="1:9" ht="14.25" x14ac:dyDescent="0.2">
      <c r="A25" s="91"/>
      <c r="B25" s="78" t="str">
        <f>'КВ 1'!B60</f>
        <v>GG.WP.322.C.0001.0101СБ</v>
      </c>
      <c r="C25" s="79" t="str">
        <f>'КВ 1'!C60</f>
        <v>Короб с электроникой в сборе</v>
      </c>
      <c r="D25" s="52">
        <f>'КВ 1'!D60</f>
        <v>1</v>
      </c>
      <c r="E25" s="52">
        <f>'КВ 1'!E60</f>
        <v>0</v>
      </c>
      <c r="F25" s="78" t="str">
        <f>'КВ 1'!F60</f>
        <v>Сборочная единица (покупное изделие)</v>
      </c>
      <c r="G25" s="78" t="str">
        <f>'КВ 1'!G60</f>
        <v>Делатель два</v>
      </c>
      <c r="H25" s="78">
        <f>'КВ 1'!H60</f>
        <v>0</v>
      </c>
      <c r="I25" s="92">
        <f>'КВ 1'!I60</f>
        <v>0</v>
      </c>
    </row>
    <row r="26" spans="1:9" ht="14.25" x14ac:dyDescent="0.2">
      <c r="A26" s="91"/>
      <c r="B26" s="81" t="str">
        <f>'КВ 1'!B62</f>
        <v>-</v>
      </c>
      <c r="C26" s="80" t="str">
        <f>'КВ 1'!C62</f>
        <v>Приварная гайка DIN 929 M6x1 ZN</v>
      </c>
      <c r="D26" s="81">
        <f>'КВ 1'!D62</f>
        <v>4</v>
      </c>
      <c r="E26" s="81">
        <f>'КВ 1'!E62</f>
        <v>0</v>
      </c>
      <c r="F26" s="78" t="str">
        <f>'КВ 1'!F62</f>
        <v>Детали (покупное изделие)</v>
      </c>
      <c r="G26" s="78" t="str">
        <f>'КВ 1'!G62</f>
        <v>Делатель два</v>
      </c>
      <c r="H26" s="81">
        <f>'КВ 1'!H62</f>
        <v>0</v>
      </c>
      <c r="I26" s="92">
        <f>'КВ 1'!I62</f>
        <v>0</v>
      </c>
    </row>
    <row r="27" spans="1:9" ht="14.25" x14ac:dyDescent="0.2">
      <c r="A27" s="91"/>
      <c r="B27" s="81" t="str">
        <f>'КВ 1'!B63</f>
        <v>-</v>
      </c>
      <c r="C27" s="80" t="str">
        <f>'КВ 1'!C63</f>
        <v>Винт DIN 7420 M5x16x0.8 A2</v>
      </c>
      <c r="D27" s="81">
        <f>'КВ 1'!D63</f>
        <v>4</v>
      </c>
      <c r="E27" s="81">
        <f>'КВ 1'!E63</f>
        <v>0</v>
      </c>
      <c r="F27" s="78" t="str">
        <f>'КВ 1'!F63</f>
        <v>Детали (покупное изделие)</v>
      </c>
      <c r="G27" s="78" t="str">
        <f>'КВ 1'!G63</f>
        <v>Делатель два</v>
      </c>
      <c r="H27" s="78">
        <f>'КВ 1'!H63</f>
        <v>0</v>
      </c>
      <c r="I27" s="92">
        <f>'КВ 1'!I63</f>
        <v>0</v>
      </c>
    </row>
    <row r="28" spans="1:9" ht="14.25" x14ac:dyDescent="0.2">
      <c r="A28" s="91"/>
      <c r="B28" s="81" t="str">
        <f>'КВ 1'!B68</f>
        <v>-</v>
      </c>
      <c r="C28" s="79" t="str">
        <f>'КВ 1'!C68</f>
        <v>Втулка дверцы</v>
      </c>
      <c r="D28" s="52">
        <f>'КВ 1'!D68</f>
        <v>2</v>
      </c>
      <c r="E28" s="52">
        <f>'КВ 1'!E68</f>
        <v>0</v>
      </c>
      <c r="F28" s="81" t="str">
        <f>'КВ 1'!F68</f>
        <v>Детали (покупное изделие)</v>
      </c>
      <c r="G28" s="78" t="str">
        <f>'КВ 1'!G68</f>
        <v>Делатель раз</v>
      </c>
      <c r="H28" s="81">
        <f>'КВ 1'!H68</f>
        <v>0</v>
      </c>
      <c r="I28" s="92">
        <f>'КВ 1'!I68</f>
        <v>0</v>
      </c>
    </row>
    <row r="29" spans="1:9" ht="14.25" x14ac:dyDescent="0.2">
      <c r="A29" s="91"/>
      <c r="B29" s="81" t="str">
        <f>'КВ 1'!B69</f>
        <v>-</v>
      </c>
      <c r="C29" s="80" t="str">
        <f>'КВ 1'!C69</f>
        <v>Гайка DIN 934 M6x1.0 ZN</v>
      </c>
      <c r="D29" s="81">
        <f>'КВ 1'!D69</f>
        <v>4</v>
      </c>
      <c r="E29" s="81">
        <f>'КВ 1'!E69</f>
        <v>0</v>
      </c>
      <c r="F29" s="78" t="str">
        <f>'КВ 1'!F69</f>
        <v>Детали (покупное изделие)</v>
      </c>
      <c r="G29" s="78" t="str">
        <f>'КВ 1'!G69</f>
        <v>Делатель два</v>
      </c>
      <c r="H29" s="78">
        <f>'КВ 1'!H69</f>
        <v>0</v>
      </c>
      <c r="I29" s="92">
        <f>'КВ 1'!I69</f>
        <v>0</v>
      </c>
    </row>
    <row r="30" spans="1:9" ht="14.25" x14ac:dyDescent="0.2">
      <c r="A30" s="91"/>
      <c r="B30" s="81" t="str">
        <f>'КВ 1'!B70</f>
        <v>-</v>
      </c>
      <c r="C30" s="80" t="str">
        <f>'КВ 1'!C70</f>
        <v>Гайка ТЕХНОТРОН ГсРФ M6x1</v>
      </c>
      <c r="D30" s="81">
        <f>'КВ 1'!D70</f>
        <v>4</v>
      </c>
      <c r="E30" s="81">
        <f>'КВ 1'!E70</f>
        <v>0</v>
      </c>
      <c r="F30" s="78" t="str">
        <f>'КВ 1'!F70</f>
        <v>Детали (покупное изделие)</v>
      </c>
      <c r="G30" s="78" t="str">
        <f>'КВ 1'!G70</f>
        <v>Делатель два</v>
      </c>
      <c r="H30" s="78">
        <f>'КВ 1'!H70</f>
        <v>0</v>
      </c>
      <c r="I30" s="92">
        <f>'КВ 1'!I70</f>
        <v>0</v>
      </c>
    </row>
    <row r="31" spans="1:9" ht="14.25" x14ac:dyDescent="0.2">
      <c r="A31" s="91"/>
      <c r="B31" s="81" t="str">
        <f>'КВ 1'!B71</f>
        <v>-</v>
      </c>
      <c r="C31" s="80" t="str">
        <f>'КВ 1'!C71</f>
        <v>Винт DIN 965 M5x16x0.8 A2</v>
      </c>
      <c r="D31" s="81">
        <f>'КВ 1'!D71</f>
        <v>9</v>
      </c>
      <c r="E31" s="81">
        <f>'КВ 1'!E71</f>
        <v>0</v>
      </c>
      <c r="F31" s="78" t="str">
        <f>'КВ 1'!F71</f>
        <v>Детали (покупное изделие)</v>
      </c>
      <c r="G31" s="78" t="str">
        <f>'КВ 1'!G71</f>
        <v>Делатель раз</v>
      </c>
      <c r="H31" s="81">
        <f>'КВ 1'!H71</f>
        <v>0</v>
      </c>
      <c r="I31" s="92">
        <f>'КВ 1'!I71</f>
        <v>0</v>
      </c>
    </row>
    <row r="32" spans="1:9" ht="15" thickBot="1" x14ac:dyDescent="0.25">
      <c r="A32" s="94"/>
      <c r="B32" s="95" t="str">
        <f>'КВ 1'!B72</f>
        <v>-</v>
      </c>
      <c r="C32" s="96" t="str">
        <f>'КВ 1'!C72</f>
        <v>Винт DIN 965 M5x80x0.8 A2</v>
      </c>
      <c r="D32" s="95">
        <f>'КВ 1'!D72</f>
        <v>4</v>
      </c>
      <c r="E32" s="95">
        <f>'КВ 1'!E72</f>
        <v>0</v>
      </c>
      <c r="F32" s="97" t="str">
        <f>'КВ 1'!F72</f>
        <v>Детали (покупное изделие)</v>
      </c>
      <c r="G32" s="97" t="str">
        <f>'КВ 1'!G72</f>
        <v>Делатель раз</v>
      </c>
      <c r="H32" s="95">
        <f>'КВ 1'!H72</f>
        <v>0</v>
      </c>
      <c r="I32" s="98">
        <f>'КВ 1'!I72</f>
        <v>0</v>
      </c>
    </row>
  </sheetData>
  <mergeCells count="1"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87B4-B153-4982-9311-20E09504602A}">
  <dimension ref="A1:I5"/>
  <sheetViews>
    <sheetView zoomScale="130" zoomScaleNormal="130" workbookViewId="0">
      <selection activeCell="C22" sqref="C22"/>
    </sheetView>
  </sheetViews>
  <sheetFormatPr defaultRowHeight="11.25" x14ac:dyDescent="0.2"/>
  <cols>
    <col min="1" max="1" width="5.5703125" style="16" customWidth="1"/>
    <col min="2" max="2" width="19.7109375" style="16" customWidth="1"/>
    <col min="3" max="3" width="34.28515625" style="16" customWidth="1"/>
    <col min="4" max="5" width="13.5703125" style="16" customWidth="1"/>
    <col min="6" max="7" width="38.42578125" style="16" customWidth="1"/>
    <col min="8" max="8" width="26.42578125" style="16" customWidth="1"/>
    <col min="9" max="9" width="38" style="16" customWidth="1"/>
    <col min="10" max="257" width="9.140625" style="16"/>
    <col min="258" max="258" width="5.5703125" style="16" customWidth="1"/>
    <col min="259" max="259" width="19.7109375" style="16" customWidth="1"/>
    <col min="260" max="260" width="34.28515625" style="16" customWidth="1"/>
    <col min="261" max="262" width="13.5703125" style="16" customWidth="1"/>
    <col min="263" max="263" width="38.42578125" style="16" customWidth="1"/>
    <col min="264" max="264" width="26.42578125" style="16" customWidth="1"/>
    <col min="265" max="265" width="38" style="16" customWidth="1"/>
    <col min="266" max="513" width="9.140625" style="16"/>
    <col min="514" max="514" width="5.5703125" style="16" customWidth="1"/>
    <col min="515" max="515" width="19.7109375" style="16" customWidth="1"/>
    <col min="516" max="516" width="34.28515625" style="16" customWidth="1"/>
    <col min="517" max="518" width="13.5703125" style="16" customWidth="1"/>
    <col min="519" max="519" width="38.42578125" style="16" customWidth="1"/>
    <col min="520" max="520" width="26.42578125" style="16" customWidth="1"/>
    <col min="521" max="521" width="38" style="16" customWidth="1"/>
    <col min="522" max="769" width="9.140625" style="16"/>
    <col min="770" max="770" width="5.5703125" style="16" customWidth="1"/>
    <col min="771" max="771" width="19.7109375" style="16" customWidth="1"/>
    <col min="772" max="772" width="34.28515625" style="16" customWidth="1"/>
    <col min="773" max="774" width="13.5703125" style="16" customWidth="1"/>
    <col min="775" max="775" width="38.42578125" style="16" customWidth="1"/>
    <col min="776" max="776" width="26.42578125" style="16" customWidth="1"/>
    <col min="777" max="777" width="38" style="16" customWidth="1"/>
    <col min="778" max="1025" width="9.140625" style="16"/>
    <col min="1026" max="1026" width="5.5703125" style="16" customWidth="1"/>
    <col min="1027" max="1027" width="19.7109375" style="16" customWidth="1"/>
    <col min="1028" max="1028" width="34.28515625" style="16" customWidth="1"/>
    <col min="1029" max="1030" width="13.5703125" style="16" customWidth="1"/>
    <col min="1031" max="1031" width="38.42578125" style="16" customWidth="1"/>
    <col min="1032" max="1032" width="26.42578125" style="16" customWidth="1"/>
    <col min="1033" max="1033" width="38" style="16" customWidth="1"/>
    <col min="1034" max="1281" width="9.140625" style="16"/>
    <col min="1282" max="1282" width="5.5703125" style="16" customWidth="1"/>
    <col min="1283" max="1283" width="19.7109375" style="16" customWidth="1"/>
    <col min="1284" max="1284" width="34.28515625" style="16" customWidth="1"/>
    <col min="1285" max="1286" width="13.5703125" style="16" customWidth="1"/>
    <col min="1287" max="1287" width="38.42578125" style="16" customWidth="1"/>
    <col min="1288" max="1288" width="26.42578125" style="16" customWidth="1"/>
    <col min="1289" max="1289" width="38" style="16" customWidth="1"/>
    <col min="1290" max="1537" width="9.140625" style="16"/>
    <col min="1538" max="1538" width="5.5703125" style="16" customWidth="1"/>
    <col min="1539" max="1539" width="19.7109375" style="16" customWidth="1"/>
    <col min="1540" max="1540" width="34.28515625" style="16" customWidth="1"/>
    <col min="1541" max="1542" width="13.5703125" style="16" customWidth="1"/>
    <col min="1543" max="1543" width="38.42578125" style="16" customWidth="1"/>
    <col min="1544" max="1544" width="26.42578125" style="16" customWidth="1"/>
    <col min="1545" max="1545" width="38" style="16" customWidth="1"/>
    <col min="1546" max="1793" width="9.140625" style="16"/>
    <col min="1794" max="1794" width="5.5703125" style="16" customWidth="1"/>
    <col min="1795" max="1795" width="19.7109375" style="16" customWidth="1"/>
    <col min="1796" max="1796" width="34.28515625" style="16" customWidth="1"/>
    <col min="1797" max="1798" width="13.5703125" style="16" customWidth="1"/>
    <col min="1799" max="1799" width="38.42578125" style="16" customWidth="1"/>
    <col min="1800" max="1800" width="26.42578125" style="16" customWidth="1"/>
    <col min="1801" max="1801" width="38" style="16" customWidth="1"/>
    <col min="1802" max="2049" width="9.140625" style="16"/>
    <col min="2050" max="2050" width="5.5703125" style="16" customWidth="1"/>
    <col min="2051" max="2051" width="19.7109375" style="16" customWidth="1"/>
    <col min="2052" max="2052" width="34.28515625" style="16" customWidth="1"/>
    <col min="2053" max="2054" width="13.5703125" style="16" customWidth="1"/>
    <col min="2055" max="2055" width="38.42578125" style="16" customWidth="1"/>
    <col min="2056" max="2056" width="26.42578125" style="16" customWidth="1"/>
    <col min="2057" max="2057" width="38" style="16" customWidth="1"/>
    <col min="2058" max="2305" width="9.140625" style="16"/>
    <col min="2306" max="2306" width="5.5703125" style="16" customWidth="1"/>
    <col min="2307" max="2307" width="19.7109375" style="16" customWidth="1"/>
    <col min="2308" max="2308" width="34.28515625" style="16" customWidth="1"/>
    <col min="2309" max="2310" width="13.5703125" style="16" customWidth="1"/>
    <col min="2311" max="2311" width="38.42578125" style="16" customWidth="1"/>
    <col min="2312" max="2312" width="26.42578125" style="16" customWidth="1"/>
    <col min="2313" max="2313" width="38" style="16" customWidth="1"/>
    <col min="2314" max="2561" width="9.140625" style="16"/>
    <col min="2562" max="2562" width="5.5703125" style="16" customWidth="1"/>
    <col min="2563" max="2563" width="19.7109375" style="16" customWidth="1"/>
    <col min="2564" max="2564" width="34.28515625" style="16" customWidth="1"/>
    <col min="2565" max="2566" width="13.5703125" style="16" customWidth="1"/>
    <col min="2567" max="2567" width="38.42578125" style="16" customWidth="1"/>
    <col min="2568" max="2568" width="26.42578125" style="16" customWidth="1"/>
    <col min="2569" max="2569" width="38" style="16" customWidth="1"/>
    <col min="2570" max="2817" width="9.140625" style="16"/>
    <col min="2818" max="2818" width="5.5703125" style="16" customWidth="1"/>
    <col min="2819" max="2819" width="19.7109375" style="16" customWidth="1"/>
    <col min="2820" max="2820" width="34.28515625" style="16" customWidth="1"/>
    <col min="2821" max="2822" width="13.5703125" style="16" customWidth="1"/>
    <col min="2823" max="2823" width="38.42578125" style="16" customWidth="1"/>
    <col min="2824" max="2824" width="26.42578125" style="16" customWidth="1"/>
    <col min="2825" max="2825" width="38" style="16" customWidth="1"/>
    <col min="2826" max="3073" width="9.140625" style="16"/>
    <col min="3074" max="3074" width="5.5703125" style="16" customWidth="1"/>
    <col min="3075" max="3075" width="19.7109375" style="16" customWidth="1"/>
    <col min="3076" max="3076" width="34.28515625" style="16" customWidth="1"/>
    <col min="3077" max="3078" width="13.5703125" style="16" customWidth="1"/>
    <col min="3079" max="3079" width="38.42578125" style="16" customWidth="1"/>
    <col min="3080" max="3080" width="26.42578125" style="16" customWidth="1"/>
    <col min="3081" max="3081" width="38" style="16" customWidth="1"/>
    <col min="3082" max="3329" width="9.140625" style="16"/>
    <col min="3330" max="3330" width="5.5703125" style="16" customWidth="1"/>
    <col min="3331" max="3331" width="19.7109375" style="16" customWidth="1"/>
    <col min="3332" max="3332" width="34.28515625" style="16" customWidth="1"/>
    <col min="3333" max="3334" width="13.5703125" style="16" customWidth="1"/>
    <col min="3335" max="3335" width="38.42578125" style="16" customWidth="1"/>
    <col min="3336" max="3336" width="26.42578125" style="16" customWidth="1"/>
    <col min="3337" max="3337" width="38" style="16" customWidth="1"/>
    <col min="3338" max="3585" width="9.140625" style="16"/>
    <col min="3586" max="3586" width="5.5703125" style="16" customWidth="1"/>
    <col min="3587" max="3587" width="19.7109375" style="16" customWidth="1"/>
    <col min="3588" max="3588" width="34.28515625" style="16" customWidth="1"/>
    <col min="3589" max="3590" width="13.5703125" style="16" customWidth="1"/>
    <col min="3591" max="3591" width="38.42578125" style="16" customWidth="1"/>
    <col min="3592" max="3592" width="26.42578125" style="16" customWidth="1"/>
    <col min="3593" max="3593" width="38" style="16" customWidth="1"/>
    <col min="3594" max="3841" width="9.140625" style="16"/>
    <col min="3842" max="3842" width="5.5703125" style="16" customWidth="1"/>
    <col min="3843" max="3843" width="19.7109375" style="16" customWidth="1"/>
    <col min="3844" max="3844" width="34.28515625" style="16" customWidth="1"/>
    <col min="3845" max="3846" width="13.5703125" style="16" customWidth="1"/>
    <col min="3847" max="3847" width="38.42578125" style="16" customWidth="1"/>
    <col min="3848" max="3848" width="26.42578125" style="16" customWidth="1"/>
    <col min="3849" max="3849" width="38" style="16" customWidth="1"/>
    <col min="3850" max="4097" width="9.140625" style="16"/>
    <col min="4098" max="4098" width="5.5703125" style="16" customWidth="1"/>
    <col min="4099" max="4099" width="19.7109375" style="16" customWidth="1"/>
    <col min="4100" max="4100" width="34.28515625" style="16" customWidth="1"/>
    <col min="4101" max="4102" width="13.5703125" style="16" customWidth="1"/>
    <col min="4103" max="4103" width="38.42578125" style="16" customWidth="1"/>
    <col min="4104" max="4104" width="26.42578125" style="16" customWidth="1"/>
    <col min="4105" max="4105" width="38" style="16" customWidth="1"/>
    <col min="4106" max="4353" width="9.140625" style="16"/>
    <col min="4354" max="4354" width="5.5703125" style="16" customWidth="1"/>
    <col min="4355" max="4355" width="19.7109375" style="16" customWidth="1"/>
    <col min="4356" max="4356" width="34.28515625" style="16" customWidth="1"/>
    <col min="4357" max="4358" width="13.5703125" style="16" customWidth="1"/>
    <col min="4359" max="4359" width="38.42578125" style="16" customWidth="1"/>
    <col min="4360" max="4360" width="26.42578125" style="16" customWidth="1"/>
    <col min="4361" max="4361" width="38" style="16" customWidth="1"/>
    <col min="4362" max="4609" width="9.140625" style="16"/>
    <col min="4610" max="4610" width="5.5703125" style="16" customWidth="1"/>
    <col min="4611" max="4611" width="19.7109375" style="16" customWidth="1"/>
    <col min="4612" max="4612" width="34.28515625" style="16" customWidth="1"/>
    <col min="4613" max="4614" width="13.5703125" style="16" customWidth="1"/>
    <col min="4615" max="4615" width="38.42578125" style="16" customWidth="1"/>
    <col min="4616" max="4616" width="26.42578125" style="16" customWidth="1"/>
    <col min="4617" max="4617" width="38" style="16" customWidth="1"/>
    <col min="4618" max="4865" width="9.140625" style="16"/>
    <col min="4866" max="4866" width="5.5703125" style="16" customWidth="1"/>
    <col min="4867" max="4867" width="19.7109375" style="16" customWidth="1"/>
    <col min="4868" max="4868" width="34.28515625" style="16" customWidth="1"/>
    <col min="4869" max="4870" width="13.5703125" style="16" customWidth="1"/>
    <col min="4871" max="4871" width="38.42578125" style="16" customWidth="1"/>
    <col min="4872" max="4872" width="26.42578125" style="16" customWidth="1"/>
    <col min="4873" max="4873" width="38" style="16" customWidth="1"/>
    <col min="4874" max="5121" width="9.140625" style="16"/>
    <col min="5122" max="5122" width="5.5703125" style="16" customWidth="1"/>
    <col min="5123" max="5123" width="19.7109375" style="16" customWidth="1"/>
    <col min="5124" max="5124" width="34.28515625" style="16" customWidth="1"/>
    <col min="5125" max="5126" width="13.5703125" style="16" customWidth="1"/>
    <col min="5127" max="5127" width="38.42578125" style="16" customWidth="1"/>
    <col min="5128" max="5128" width="26.42578125" style="16" customWidth="1"/>
    <col min="5129" max="5129" width="38" style="16" customWidth="1"/>
    <col min="5130" max="5377" width="9.140625" style="16"/>
    <col min="5378" max="5378" width="5.5703125" style="16" customWidth="1"/>
    <col min="5379" max="5379" width="19.7109375" style="16" customWidth="1"/>
    <col min="5380" max="5380" width="34.28515625" style="16" customWidth="1"/>
    <col min="5381" max="5382" width="13.5703125" style="16" customWidth="1"/>
    <col min="5383" max="5383" width="38.42578125" style="16" customWidth="1"/>
    <col min="5384" max="5384" width="26.42578125" style="16" customWidth="1"/>
    <col min="5385" max="5385" width="38" style="16" customWidth="1"/>
    <col min="5386" max="5633" width="9.140625" style="16"/>
    <col min="5634" max="5634" width="5.5703125" style="16" customWidth="1"/>
    <col min="5635" max="5635" width="19.7109375" style="16" customWidth="1"/>
    <col min="5636" max="5636" width="34.28515625" style="16" customWidth="1"/>
    <col min="5637" max="5638" width="13.5703125" style="16" customWidth="1"/>
    <col min="5639" max="5639" width="38.42578125" style="16" customWidth="1"/>
    <col min="5640" max="5640" width="26.42578125" style="16" customWidth="1"/>
    <col min="5641" max="5641" width="38" style="16" customWidth="1"/>
    <col min="5642" max="5889" width="9.140625" style="16"/>
    <col min="5890" max="5890" width="5.5703125" style="16" customWidth="1"/>
    <col min="5891" max="5891" width="19.7109375" style="16" customWidth="1"/>
    <col min="5892" max="5892" width="34.28515625" style="16" customWidth="1"/>
    <col min="5893" max="5894" width="13.5703125" style="16" customWidth="1"/>
    <col min="5895" max="5895" width="38.42578125" style="16" customWidth="1"/>
    <col min="5896" max="5896" width="26.42578125" style="16" customWidth="1"/>
    <col min="5897" max="5897" width="38" style="16" customWidth="1"/>
    <col min="5898" max="6145" width="9.140625" style="16"/>
    <col min="6146" max="6146" width="5.5703125" style="16" customWidth="1"/>
    <col min="6147" max="6147" width="19.7109375" style="16" customWidth="1"/>
    <col min="6148" max="6148" width="34.28515625" style="16" customWidth="1"/>
    <col min="6149" max="6150" width="13.5703125" style="16" customWidth="1"/>
    <col min="6151" max="6151" width="38.42578125" style="16" customWidth="1"/>
    <col min="6152" max="6152" width="26.42578125" style="16" customWidth="1"/>
    <col min="6153" max="6153" width="38" style="16" customWidth="1"/>
    <col min="6154" max="6401" width="9.140625" style="16"/>
    <col min="6402" max="6402" width="5.5703125" style="16" customWidth="1"/>
    <col min="6403" max="6403" width="19.7109375" style="16" customWidth="1"/>
    <col min="6404" max="6404" width="34.28515625" style="16" customWidth="1"/>
    <col min="6405" max="6406" width="13.5703125" style="16" customWidth="1"/>
    <col min="6407" max="6407" width="38.42578125" style="16" customWidth="1"/>
    <col min="6408" max="6408" width="26.42578125" style="16" customWidth="1"/>
    <col min="6409" max="6409" width="38" style="16" customWidth="1"/>
    <col min="6410" max="6657" width="9.140625" style="16"/>
    <col min="6658" max="6658" width="5.5703125" style="16" customWidth="1"/>
    <col min="6659" max="6659" width="19.7109375" style="16" customWidth="1"/>
    <col min="6660" max="6660" width="34.28515625" style="16" customWidth="1"/>
    <col min="6661" max="6662" width="13.5703125" style="16" customWidth="1"/>
    <col min="6663" max="6663" width="38.42578125" style="16" customWidth="1"/>
    <col min="6664" max="6664" width="26.42578125" style="16" customWidth="1"/>
    <col min="6665" max="6665" width="38" style="16" customWidth="1"/>
    <col min="6666" max="6913" width="9.140625" style="16"/>
    <col min="6914" max="6914" width="5.5703125" style="16" customWidth="1"/>
    <col min="6915" max="6915" width="19.7109375" style="16" customWidth="1"/>
    <col min="6916" max="6916" width="34.28515625" style="16" customWidth="1"/>
    <col min="6917" max="6918" width="13.5703125" style="16" customWidth="1"/>
    <col min="6919" max="6919" width="38.42578125" style="16" customWidth="1"/>
    <col min="6920" max="6920" width="26.42578125" style="16" customWidth="1"/>
    <col min="6921" max="6921" width="38" style="16" customWidth="1"/>
    <col min="6922" max="7169" width="9.140625" style="16"/>
    <col min="7170" max="7170" width="5.5703125" style="16" customWidth="1"/>
    <col min="7171" max="7171" width="19.7109375" style="16" customWidth="1"/>
    <col min="7172" max="7172" width="34.28515625" style="16" customWidth="1"/>
    <col min="7173" max="7174" width="13.5703125" style="16" customWidth="1"/>
    <col min="7175" max="7175" width="38.42578125" style="16" customWidth="1"/>
    <col min="7176" max="7176" width="26.42578125" style="16" customWidth="1"/>
    <col min="7177" max="7177" width="38" style="16" customWidth="1"/>
    <col min="7178" max="7425" width="9.140625" style="16"/>
    <col min="7426" max="7426" width="5.5703125" style="16" customWidth="1"/>
    <col min="7427" max="7427" width="19.7109375" style="16" customWidth="1"/>
    <col min="7428" max="7428" width="34.28515625" style="16" customWidth="1"/>
    <col min="7429" max="7430" width="13.5703125" style="16" customWidth="1"/>
    <col min="7431" max="7431" width="38.42578125" style="16" customWidth="1"/>
    <col min="7432" max="7432" width="26.42578125" style="16" customWidth="1"/>
    <col min="7433" max="7433" width="38" style="16" customWidth="1"/>
    <col min="7434" max="7681" width="9.140625" style="16"/>
    <col min="7682" max="7682" width="5.5703125" style="16" customWidth="1"/>
    <col min="7683" max="7683" width="19.7109375" style="16" customWidth="1"/>
    <col min="7684" max="7684" width="34.28515625" style="16" customWidth="1"/>
    <col min="7685" max="7686" width="13.5703125" style="16" customWidth="1"/>
    <col min="7687" max="7687" width="38.42578125" style="16" customWidth="1"/>
    <col min="7688" max="7688" width="26.42578125" style="16" customWidth="1"/>
    <col min="7689" max="7689" width="38" style="16" customWidth="1"/>
    <col min="7690" max="7937" width="9.140625" style="16"/>
    <col min="7938" max="7938" width="5.5703125" style="16" customWidth="1"/>
    <col min="7939" max="7939" width="19.7109375" style="16" customWidth="1"/>
    <col min="7940" max="7940" width="34.28515625" style="16" customWidth="1"/>
    <col min="7941" max="7942" width="13.5703125" style="16" customWidth="1"/>
    <col min="7943" max="7943" width="38.42578125" style="16" customWidth="1"/>
    <col min="7944" max="7944" width="26.42578125" style="16" customWidth="1"/>
    <col min="7945" max="7945" width="38" style="16" customWidth="1"/>
    <col min="7946" max="8193" width="9.140625" style="16"/>
    <col min="8194" max="8194" width="5.5703125" style="16" customWidth="1"/>
    <col min="8195" max="8195" width="19.7109375" style="16" customWidth="1"/>
    <col min="8196" max="8196" width="34.28515625" style="16" customWidth="1"/>
    <col min="8197" max="8198" width="13.5703125" style="16" customWidth="1"/>
    <col min="8199" max="8199" width="38.42578125" style="16" customWidth="1"/>
    <col min="8200" max="8200" width="26.42578125" style="16" customWidth="1"/>
    <col min="8201" max="8201" width="38" style="16" customWidth="1"/>
    <col min="8202" max="8449" width="9.140625" style="16"/>
    <col min="8450" max="8450" width="5.5703125" style="16" customWidth="1"/>
    <col min="8451" max="8451" width="19.7109375" style="16" customWidth="1"/>
    <col min="8452" max="8452" width="34.28515625" style="16" customWidth="1"/>
    <col min="8453" max="8454" width="13.5703125" style="16" customWidth="1"/>
    <col min="8455" max="8455" width="38.42578125" style="16" customWidth="1"/>
    <col min="8456" max="8456" width="26.42578125" style="16" customWidth="1"/>
    <col min="8457" max="8457" width="38" style="16" customWidth="1"/>
    <col min="8458" max="8705" width="9.140625" style="16"/>
    <col min="8706" max="8706" width="5.5703125" style="16" customWidth="1"/>
    <col min="8707" max="8707" width="19.7109375" style="16" customWidth="1"/>
    <col min="8708" max="8708" width="34.28515625" style="16" customWidth="1"/>
    <col min="8709" max="8710" width="13.5703125" style="16" customWidth="1"/>
    <col min="8711" max="8711" width="38.42578125" style="16" customWidth="1"/>
    <col min="8712" max="8712" width="26.42578125" style="16" customWidth="1"/>
    <col min="8713" max="8713" width="38" style="16" customWidth="1"/>
    <col min="8714" max="8961" width="9.140625" style="16"/>
    <col min="8962" max="8962" width="5.5703125" style="16" customWidth="1"/>
    <col min="8963" max="8963" width="19.7109375" style="16" customWidth="1"/>
    <col min="8964" max="8964" width="34.28515625" style="16" customWidth="1"/>
    <col min="8965" max="8966" width="13.5703125" style="16" customWidth="1"/>
    <col min="8967" max="8967" width="38.42578125" style="16" customWidth="1"/>
    <col min="8968" max="8968" width="26.42578125" style="16" customWidth="1"/>
    <col min="8969" max="8969" width="38" style="16" customWidth="1"/>
    <col min="8970" max="9217" width="9.140625" style="16"/>
    <col min="9218" max="9218" width="5.5703125" style="16" customWidth="1"/>
    <col min="9219" max="9219" width="19.7109375" style="16" customWidth="1"/>
    <col min="9220" max="9220" width="34.28515625" style="16" customWidth="1"/>
    <col min="9221" max="9222" width="13.5703125" style="16" customWidth="1"/>
    <col min="9223" max="9223" width="38.42578125" style="16" customWidth="1"/>
    <col min="9224" max="9224" width="26.42578125" style="16" customWidth="1"/>
    <col min="9225" max="9225" width="38" style="16" customWidth="1"/>
    <col min="9226" max="9473" width="9.140625" style="16"/>
    <col min="9474" max="9474" width="5.5703125" style="16" customWidth="1"/>
    <col min="9475" max="9475" width="19.7109375" style="16" customWidth="1"/>
    <col min="9476" max="9476" width="34.28515625" style="16" customWidth="1"/>
    <col min="9477" max="9478" width="13.5703125" style="16" customWidth="1"/>
    <col min="9479" max="9479" width="38.42578125" style="16" customWidth="1"/>
    <col min="9480" max="9480" width="26.42578125" style="16" customWidth="1"/>
    <col min="9481" max="9481" width="38" style="16" customWidth="1"/>
    <col min="9482" max="9729" width="9.140625" style="16"/>
    <col min="9730" max="9730" width="5.5703125" style="16" customWidth="1"/>
    <col min="9731" max="9731" width="19.7109375" style="16" customWidth="1"/>
    <col min="9732" max="9732" width="34.28515625" style="16" customWidth="1"/>
    <col min="9733" max="9734" width="13.5703125" style="16" customWidth="1"/>
    <col min="9735" max="9735" width="38.42578125" style="16" customWidth="1"/>
    <col min="9736" max="9736" width="26.42578125" style="16" customWidth="1"/>
    <col min="9737" max="9737" width="38" style="16" customWidth="1"/>
    <col min="9738" max="9985" width="9.140625" style="16"/>
    <col min="9986" max="9986" width="5.5703125" style="16" customWidth="1"/>
    <col min="9987" max="9987" width="19.7109375" style="16" customWidth="1"/>
    <col min="9988" max="9988" width="34.28515625" style="16" customWidth="1"/>
    <col min="9989" max="9990" width="13.5703125" style="16" customWidth="1"/>
    <col min="9991" max="9991" width="38.42578125" style="16" customWidth="1"/>
    <col min="9992" max="9992" width="26.42578125" style="16" customWidth="1"/>
    <col min="9993" max="9993" width="38" style="16" customWidth="1"/>
    <col min="9994" max="10241" width="9.140625" style="16"/>
    <col min="10242" max="10242" width="5.5703125" style="16" customWidth="1"/>
    <col min="10243" max="10243" width="19.7109375" style="16" customWidth="1"/>
    <col min="10244" max="10244" width="34.28515625" style="16" customWidth="1"/>
    <col min="10245" max="10246" width="13.5703125" style="16" customWidth="1"/>
    <col min="10247" max="10247" width="38.42578125" style="16" customWidth="1"/>
    <col min="10248" max="10248" width="26.42578125" style="16" customWidth="1"/>
    <col min="10249" max="10249" width="38" style="16" customWidth="1"/>
    <col min="10250" max="10497" width="9.140625" style="16"/>
    <col min="10498" max="10498" width="5.5703125" style="16" customWidth="1"/>
    <col min="10499" max="10499" width="19.7109375" style="16" customWidth="1"/>
    <col min="10500" max="10500" width="34.28515625" style="16" customWidth="1"/>
    <col min="10501" max="10502" width="13.5703125" style="16" customWidth="1"/>
    <col min="10503" max="10503" width="38.42578125" style="16" customWidth="1"/>
    <col min="10504" max="10504" width="26.42578125" style="16" customWidth="1"/>
    <col min="10505" max="10505" width="38" style="16" customWidth="1"/>
    <col min="10506" max="10753" width="9.140625" style="16"/>
    <col min="10754" max="10754" width="5.5703125" style="16" customWidth="1"/>
    <col min="10755" max="10755" width="19.7109375" style="16" customWidth="1"/>
    <col min="10756" max="10756" width="34.28515625" style="16" customWidth="1"/>
    <col min="10757" max="10758" width="13.5703125" style="16" customWidth="1"/>
    <col min="10759" max="10759" width="38.42578125" style="16" customWidth="1"/>
    <col min="10760" max="10760" width="26.42578125" style="16" customWidth="1"/>
    <col min="10761" max="10761" width="38" style="16" customWidth="1"/>
    <col min="10762" max="11009" width="9.140625" style="16"/>
    <col min="11010" max="11010" width="5.5703125" style="16" customWidth="1"/>
    <col min="11011" max="11011" width="19.7109375" style="16" customWidth="1"/>
    <col min="11012" max="11012" width="34.28515625" style="16" customWidth="1"/>
    <col min="11013" max="11014" width="13.5703125" style="16" customWidth="1"/>
    <col min="11015" max="11015" width="38.42578125" style="16" customWidth="1"/>
    <col min="11016" max="11016" width="26.42578125" style="16" customWidth="1"/>
    <col min="11017" max="11017" width="38" style="16" customWidth="1"/>
    <col min="11018" max="11265" width="9.140625" style="16"/>
    <col min="11266" max="11266" width="5.5703125" style="16" customWidth="1"/>
    <col min="11267" max="11267" width="19.7109375" style="16" customWidth="1"/>
    <col min="11268" max="11268" width="34.28515625" style="16" customWidth="1"/>
    <col min="11269" max="11270" width="13.5703125" style="16" customWidth="1"/>
    <col min="11271" max="11271" width="38.42578125" style="16" customWidth="1"/>
    <col min="11272" max="11272" width="26.42578125" style="16" customWidth="1"/>
    <col min="11273" max="11273" width="38" style="16" customWidth="1"/>
    <col min="11274" max="11521" width="9.140625" style="16"/>
    <col min="11522" max="11522" width="5.5703125" style="16" customWidth="1"/>
    <col min="11523" max="11523" width="19.7109375" style="16" customWidth="1"/>
    <col min="11524" max="11524" width="34.28515625" style="16" customWidth="1"/>
    <col min="11525" max="11526" width="13.5703125" style="16" customWidth="1"/>
    <col min="11527" max="11527" width="38.42578125" style="16" customWidth="1"/>
    <col min="11528" max="11528" width="26.42578125" style="16" customWidth="1"/>
    <col min="11529" max="11529" width="38" style="16" customWidth="1"/>
    <col min="11530" max="11777" width="9.140625" style="16"/>
    <col min="11778" max="11778" width="5.5703125" style="16" customWidth="1"/>
    <col min="11779" max="11779" width="19.7109375" style="16" customWidth="1"/>
    <col min="11780" max="11780" width="34.28515625" style="16" customWidth="1"/>
    <col min="11781" max="11782" width="13.5703125" style="16" customWidth="1"/>
    <col min="11783" max="11783" width="38.42578125" style="16" customWidth="1"/>
    <col min="11784" max="11784" width="26.42578125" style="16" customWidth="1"/>
    <col min="11785" max="11785" width="38" style="16" customWidth="1"/>
    <col min="11786" max="12033" width="9.140625" style="16"/>
    <col min="12034" max="12034" width="5.5703125" style="16" customWidth="1"/>
    <col min="12035" max="12035" width="19.7109375" style="16" customWidth="1"/>
    <col min="12036" max="12036" width="34.28515625" style="16" customWidth="1"/>
    <col min="12037" max="12038" width="13.5703125" style="16" customWidth="1"/>
    <col min="12039" max="12039" width="38.42578125" style="16" customWidth="1"/>
    <col min="12040" max="12040" width="26.42578125" style="16" customWidth="1"/>
    <col min="12041" max="12041" width="38" style="16" customWidth="1"/>
    <col min="12042" max="12289" width="9.140625" style="16"/>
    <col min="12290" max="12290" width="5.5703125" style="16" customWidth="1"/>
    <col min="12291" max="12291" width="19.7109375" style="16" customWidth="1"/>
    <col min="12292" max="12292" width="34.28515625" style="16" customWidth="1"/>
    <col min="12293" max="12294" width="13.5703125" style="16" customWidth="1"/>
    <col min="12295" max="12295" width="38.42578125" style="16" customWidth="1"/>
    <col min="12296" max="12296" width="26.42578125" style="16" customWidth="1"/>
    <col min="12297" max="12297" width="38" style="16" customWidth="1"/>
    <col min="12298" max="12545" width="9.140625" style="16"/>
    <col min="12546" max="12546" width="5.5703125" style="16" customWidth="1"/>
    <col min="12547" max="12547" width="19.7109375" style="16" customWidth="1"/>
    <col min="12548" max="12548" width="34.28515625" style="16" customWidth="1"/>
    <col min="12549" max="12550" width="13.5703125" style="16" customWidth="1"/>
    <col min="12551" max="12551" width="38.42578125" style="16" customWidth="1"/>
    <col min="12552" max="12552" width="26.42578125" style="16" customWidth="1"/>
    <col min="12553" max="12553" width="38" style="16" customWidth="1"/>
    <col min="12554" max="12801" width="9.140625" style="16"/>
    <col min="12802" max="12802" width="5.5703125" style="16" customWidth="1"/>
    <col min="12803" max="12803" width="19.7109375" style="16" customWidth="1"/>
    <col min="12804" max="12804" width="34.28515625" style="16" customWidth="1"/>
    <col min="12805" max="12806" width="13.5703125" style="16" customWidth="1"/>
    <col min="12807" max="12807" width="38.42578125" style="16" customWidth="1"/>
    <col min="12808" max="12808" width="26.42578125" style="16" customWidth="1"/>
    <col min="12809" max="12809" width="38" style="16" customWidth="1"/>
    <col min="12810" max="13057" width="9.140625" style="16"/>
    <col min="13058" max="13058" width="5.5703125" style="16" customWidth="1"/>
    <col min="13059" max="13059" width="19.7109375" style="16" customWidth="1"/>
    <col min="13060" max="13060" width="34.28515625" style="16" customWidth="1"/>
    <col min="13061" max="13062" width="13.5703125" style="16" customWidth="1"/>
    <col min="13063" max="13063" width="38.42578125" style="16" customWidth="1"/>
    <col min="13064" max="13064" width="26.42578125" style="16" customWidth="1"/>
    <col min="13065" max="13065" width="38" style="16" customWidth="1"/>
    <col min="13066" max="13313" width="9.140625" style="16"/>
    <col min="13314" max="13314" width="5.5703125" style="16" customWidth="1"/>
    <col min="13315" max="13315" width="19.7109375" style="16" customWidth="1"/>
    <col min="13316" max="13316" width="34.28515625" style="16" customWidth="1"/>
    <col min="13317" max="13318" width="13.5703125" style="16" customWidth="1"/>
    <col min="13319" max="13319" width="38.42578125" style="16" customWidth="1"/>
    <col min="13320" max="13320" width="26.42578125" style="16" customWidth="1"/>
    <col min="13321" max="13321" width="38" style="16" customWidth="1"/>
    <col min="13322" max="13569" width="9.140625" style="16"/>
    <col min="13570" max="13570" width="5.5703125" style="16" customWidth="1"/>
    <col min="13571" max="13571" width="19.7109375" style="16" customWidth="1"/>
    <col min="13572" max="13572" width="34.28515625" style="16" customWidth="1"/>
    <col min="13573" max="13574" width="13.5703125" style="16" customWidth="1"/>
    <col min="13575" max="13575" width="38.42578125" style="16" customWidth="1"/>
    <col min="13576" max="13576" width="26.42578125" style="16" customWidth="1"/>
    <col min="13577" max="13577" width="38" style="16" customWidth="1"/>
    <col min="13578" max="13825" width="9.140625" style="16"/>
    <col min="13826" max="13826" width="5.5703125" style="16" customWidth="1"/>
    <col min="13827" max="13827" width="19.7109375" style="16" customWidth="1"/>
    <col min="13828" max="13828" width="34.28515625" style="16" customWidth="1"/>
    <col min="13829" max="13830" width="13.5703125" style="16" customWidth="1"/>
    <col min="13831" max="13831" width="38.42578125" style="16" customWidth="1"/>
    <col min="13832" max="13832" width="26.42578125" style="16" customWidth="1"/>
    <col min="13833" max="13833" width="38" style="16" customWidth="1"/>
    <col min="13834" max="14081" width="9.140625" style="16"/>
    <col min="14082" max="14082" width="5.5703125" style="16" customWidth="1"/>
    <col min="14083" max="14083" width="19.7109375" style="16" customWidth="1"/>
    <col min="14084" max="14084" width="34.28515625" style="16" customWidth="1"/>
    <col min="14085" max="14086" width="13.5703125" style="16" customWidth="1"/>
    <col min="14087" max="14087" width="38.42578125" style="16" customWidth="1"/>
    <col min="14088" max="14088" width="26.42578125" style="16" customWidth="1"/>
    <col min="14089" max="14089" width="38" style="16" customWidth="1"/>
    <col min="14090" max="14337" width="9.140625" style="16"/>
    <col min="14338" max="14338" width="5.5703125" style="16" customWidth="1"/>
    <col min="14339" max="14339" width="19.7109375" style="16" customWidth="1"/>
    <col min="14340" max="14340" width="34.28515625" style="16" customWidth="1"/>
    <col min="14341" max="14342" width="13.5703125" style="16" customWidth="1"/>
    <col min="14343" max="14343" width="38.42578125" style="16" customWidth="1"/>
    <col min="14344" max="14344" width="26.42578125" style="16" customWidth="1"/>
    <col min="14345" max="14345" width="38" style="16" customWidth="1"/>
    <col min="14346" max="14593" width="9.140625" style="16"/>
    <col min="14594" max="14594" width="5.5703125" style="16" customWidth="1"/>
    <col min="14595" max="14595" width="19.7109375" style="16" customWidth="1"/>
    <col min="14596" max="14596" width="34.28515625" style="16" customWidth="1"/>
    <col min="14597" max="14598" width="13.5703125" style="16" customWidth="1"/>
    <col min="14599" max="14599" width="38.42578125" style="16" customWidth="1"/>
    <col min="14600" max="14600" width="26.42578125" style="16" customWidth="1"/>
    <col min="14601" max="14601" width="38" style="16" customWidth="1"/>
    <col min="14602" max="14849" width="9.140625" style="16"/>
    <col min="14850" max="14850" width="5.5703125" style="16" customWidth="1"/>
    <col min="14851" max="14851" width="19.7109375" style="16" customWidth="1"/>
    <col min="14852" max="14852" width="34.28515625" style="16" customWidth="1"/>
    <col min="14853" max="14854" width="13.5703125" style="16" customWidth="1"/>
    <col min="14855" max="14855" width="38.42578125" style="16" customWidth="1"/>
    <col min="14856" max="14856" width="26.42578125" style="16" customWidth="1"/>
    <col min="14857" max="14857" width="38" style="16" customWidth="1"/>
    <col min="14858" max="15105" width="9.140625" style="16"/>
    <col min="15106" max="15106" width="5.5703125" style="16" customWidth="1"/>
    <col min="15107" max="15107" width="19.7109375" style="16" customWidth="1"/>
    <col min="15108" max="15108" width="34.28515625" style="16" customWidth="1"/>
    <col min="15109" max="15110" width="13.5703125" style="16" customWidth="1"/>
    <col min="15111" max="15111" width="38.42578125" style="16" customWidth="1"/>
    <col min="15112" max="15112" width="26.42578125" style="16" customWidth="1"/>
    <col min="15113" max="15113" width="38" style="16" customWidth="1"/>
    <col min="15114" max="15361" width="9.140625" style="16"/>
    <col min="15362" max="15362" width="5.5703125" style="16" customWidth="1"/>
    <col min="15363" max="15363" width="19.7109375" style="16" customWidth="1"/>
    <col min="15364" max="15364" width="34.28515625" style="16" customWidth="1"/>
    <col min="15365" max="15366" width="13.5703125" style="16" customWidth="1"/>
    <col min="15367" max="15367" width="38.42578125" style="16" customWidth="1"/>
    <col min="15368" max="15368" width="26.42578125" style="16" customWidth="1"/>
    <col min="15369" max="15369" width="38" style="16" customWidth="1"/>
    <col min="15370" max="15617" width="9.140625" style="16"/>
    <col min="15618" max="15618" width="5.5703125" style="16" customWidth="1"/>
    <col min="15619" max="15619" width="19.7109375" style="16" customWidth="1"/>
    <col min="15620" max="15620" width="34.28515625" style="16" customWidth="1"/>
    <col min="15621" max="15622" width="13.5703125" style="16" customWidth="1"/>
    <col min="15623" max="15623" width="38.42578125" style="16" customWidth="1"/>
    <col min="15624" max="15624" width="26.42578125" style="16" customWidth="1"/>
    <col min="15625" max="15625" width="38" style="16" customWidth="1"/>
    <col min="15626" max="15873" width="9.140625" style="16"/>
    <col min="15874" max="15874" width="5.5703125" style="16" customWidth="1"/>
    <col min="15875" max="15875" width="19.7109375" style="16" customWidth="1"/>
    <col min="15876" max="15876" width="34.28515625" style="16" customWidth="1"/>
    <col min="15877" max="15878" width="13.5703125" style="16" customWidth="1"/>
    <col min="15879" max="15879" width="38.42578125" style="16" customWidth="1"/>
    <col min="15880" max="15880" width="26.42578125" style="16" customWidth="1"/>
    <col min="15881" max="15881" width="38" style="16" customWidth="1"/>
    <col min="15882" max="16129" width="9.140625" style="16"/>
    <col min="16130" max="16130" width="5.5703125" style="16" customWidth="1"/>
    <col min="16131" max="16131" width="19.7109375" style="16" customWidth="1"/>
    <col min="16132" max="16132" width="34.28515625" style="16" customWidth="1"/>
    <col min="16133" max="16134" width="13.5703125" style="16" customWidth="1"/>
    <col min="16135" max="16135" width="38.42578125" style="16" customWidth="1"/>
    <col min="16136" max="16136" width="26.42578125" style="16" customWidth="1"/>
    <col min="16137" max="16137" width="38" style="16" customWidth="1"/>
    <col min="16138" max="16384" width="9.140625" style="16"/>
  </cols>
  <sheetData>
    <row r="1" spans="1:9" ht="12" thickBot="1" x14ac:dyDescent="0.25">
      <c r="E1" s="16">
        <v>1</v>
      </c>
    </row>
    <row r="2" spans="1:9" ht="15" thickBot="1" x14ac:dyDescent="0.25">
      <c r="A2" s="17"/>
      <c r="B2" s="18" t="s">
        <v>42</v>
      </c>
      <c r="C2" s="18" t="s">
        <v>43</v>
      </c>
      <c r="D2" s="123" t="s">
        <v>66</v>
      </c>
      <c r="E2" s="123"/>
      <c r="F2" s="18" t="s">
        <v>45</v>
      </c>
      <c r="G2" s="18"/>
      <c r="H2" s="18"/>
      <c r="I2" s="19"/>
    </row>
    <row r="3" spans="1:9" ht="45" thickBot="1" x14ac:dyDescent="0.25">
      <c r="A3" s="20" t="s">
        <v>46</v>
      </c>
      <c r="B3" s="21" t="s">
        <v>47</v>
      </c>
      <c r="C3" s="21" t="s">
        <v>12</v>
      </c>
      <c r="D3" s="22" t="s">
        <v>48</v>
      </c>
      <c r="E3" s="22" t="s">
        <v>49</v>
      </c>
      <c r="F3" s="21" t="s">
        <v>50</v>
      </c>
      <c r="G3" s="21" t="s">
        <v>120</v>
      </c>
      <c r="H3" s="21" t="s">
        <v>51</v>
      </c>
      <c r="I3" s="23" t="s">
        <v>52</v>
      </c>
    </row>
    <row r="4" spans="1:9" ht="14.25" x14ac:dyDescent="0.2">
      <c r="A4" s="108"/>
      <c r="B4" s="109" t="str">
        <f>' КВ 2'!B12</f>
        <v>GG.WP.322.0001.0029</v>
      </c>
      <c r="C4" s="110" t="str">
        <f>' КВ 2'!C12</f>
        <v>Уголок левый</v>
      </c>
      <c r="D4" s="111">
        <f>' КВ 2'!D12</f>
        <v>2</v>
      </c>
      <c r="E4" s="111">
        <f>' КВ 2'!E12</f>
        <v>0</v>
      </c>
      <c r="F4" s="112" t="str">
        <f>' КВ 2'!F12</f>
        <v>Детали</v>
      </c>
      <c r="G4" s="87" t="str">
        <f>' КВ 2'!G12</f>
        <v>Делатель 3</v>
      </c>
      <c r="H4" s="109">
        <f>' КВ 2'!H12</f>
        <v>0</v>
      </c>
      <c r="I4" s="113">
        <f>' КВ 2'!I12</f>
        <v>0</v>
      </c>
    </row>
    <row r="5" spans="1:9" ht="15" thickBot="1" x14ac:dyDescent="0.25">
      <c r="A5" s="82"/>
      <c r="B5" s="103" t="str">
        <f>' КВ 2'!B13</f>
        <v>-</v>
      </c>
      <c r="C5" s="104" t="str">
        <f>' КВ 2'!C13</f>
        <v>Гайка для контактной сварки DIN 929-M5-A2</v>
      </c>
      <c r="D5" s="105">
        <f>' КВ 2'!D13</f>
        <v>4</v>
      </c>
      <c r="E5" s="105">
        <f>' КВ 2'!E13</f>
        <v>0</v>
      </c>
      <c r="F5" s="106" t="str">
        <f>' КВ 2'!F13</f>
        <v>Детали (покупное изделие)</v>
      </c>
      <c r="G5" s="97" t="str">
        <f>' КВ 2'!G13</f>
        <v>Делатель 3</v>
      </c>
      <c r="H5" s="103">
        <f>' КВ 2'!H13</f>
        <v>0</v>
      </c>
      <c r="I5" s="107">
        <f>' КВ 2'!I13</f>
        <v>0</v>
      </c>
    </row>
  </sheetData>
  <mergeCells count="1"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 ПАРСИНГ</vt:lpstr>
      <vt:lpstr>КВ 1</vt:lpstr>
      <vt:lpstr> КВ 2</vt:lpstr>
      <vt:lpstr>ПИ 1</vt:lpstr>
      <vt:lpstr>ПИ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Крисковец</dc:creator>
  <cp:lastModifiedBy>Дмитрий Крисковец</cp:lastModifiedBy>
  <dcterms:created xsi:type="dcterms:W3CDTF">2015-06-05T18:17:20Z</dcterms:created>
  <dcterms:modified xsi:type="dcterms:W3CDTF">2026-04-15T11:38:07Z</dcterms:modified>
</cp:coreProperties>
</file>