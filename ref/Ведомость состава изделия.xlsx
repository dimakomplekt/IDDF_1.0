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dmitrii.kriskovets\Desktop\macro\макрос\ref\"/>
    </mc:Choice>
  </mc:AlternateContent>
  <xr:revisionPtr revIDLastSave="0" documentId="13_ncr:1_{AEADDDFE-FC64-4697-A099-09BC810FE3FF}" xr6:coauthVersionLast="36" xr6:coauthVersionMax="36" xr10:uidLastSave="{00000000-0000-0000-0000-000000000000}"/>
  <bookViews>
    <workbookView xWindow="0" yWindow="0" windowWidth="22260" windowHeight="12645" activeTab="2" xr2:uid="{00000000-000D-0000-FFFF-FFFF00000000}"/>
  </bookViews>
  <sheets>
    <sheet name="Лист1" sheetId="2" r:id="rId1"/>
    <sheet name="Лист2" sheetId="3" r:id="rId2"/>
    <sheet name="НА ПАРСИНГ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6" i="1" l="1"/>
  <c r="B35" i="1"/>
  <c r="B28" i="1"/>
  <c r="B29" i="1"/>
  <c r="B30" i="1"/>
  <c r="B31" i="1"/>
  <c r="B32" i="1"/>
  <c r="B33" i="1"/>
  <c r="B27" i="1"/>
  <c r="B25" i="1"/>
  <c r="B23" i="1"/>
  <c r="B18" i="1"/>
  <c r="B19" i="1"/>
  <c r="B20" i="1"/>
  <c r="B21" i="1"/>
  <c r="B17" i="1"/>
  <c r="B4" i="1"/>
  <c r="B5" i="1"/>
  <c r="B6" i="1"/>
  <c r="B7" i="1"/>
  <c r="B8" i="1"/>
  <c r="B9" i="1"/>
  <c r="B11" i="1"/>
  <c r="B12" i="1"/>
  <c r="B13" i="1"/>
  <c r="B14" i="1"/>
  <c r="B15" i="1"/>
  <c r="B3" i="1"/>
</calcChain>
</file>

<file path=xl/sharedStrings.xml><?xml version="1.0" encoding="utf-8"?>
<sst xmlns="http://schemas.openxmlformats.org/spreadsheetml/2006/main" count="430" uniqueCount="99">
  <si>
    <t>N Позиции</t>
  </si>
  <si>
    <t>Разраб.</t>
  </si>
  <si>
    <t>Пров.</t>
  </si>
  <si>
    <t>Т. контр</t>
  </si>
  <si>
    <t>Нач. отд.</t>
  </si>
  <si>
    <t>Н. контр.</t>
  </si>
  <si>
    <t>Утв.</t>
  </si>
  <si>
    <t>Компания</t>
  </si>
  <si>
    <t>Приемная часть кронштейна</t>
  </si>
  <si>
    <t>Ответная часть кронштейна и короб</t>
  </si>
  <si>
    <t>Дата проверки 2</t>
  </si>
  <si>
    <t>Дата проверки 3</t>
  </si>
  <si>
    <t>Дата проверки 4</t>
  </si>
  <si>
    <t>Дата проверки 5</t>
  </si>
  <si>
    <t xml:space="preserve">Обозначение </t>
  </si>
  <si>
    <t>Наименование</t>
  </si>
  <si>
    <t>Дата проверки 1</t>
  </si>
  <si>
    <t>Секция</t>
  </si>
  <si>
    <t>Деталь / Сборка</t>
  </si>
  <si>
    <t>Изделие в сборе (детали)</t>
  </si>
  <si>
    <t>Изделие в сборе (подсборки)</t>
  </si>
  <si>
    <t>Обечайка в сборе (детали)</t>
  </si>
  <si>
    <t>Обечайка в сборе (метизы)</t>
  </si>
  <si>
    <t>1</t>
  </si>
  <si>
    <t>2</t>
  </si>
  <si>
    <t>Деталь</t>
  </si>
  <si>
    <t>Сборка</t>
  </si>
  <si>
    <t>Обечайка в сборе</t>
  </si>
  <si>
    <t>Пр-во</t>
  </si>
  <si>
    <t>3</t>
  </si>
  <si>
    <t>4</t>
  </si>
  <si>
    <t>5</t>
  </si>
  <si>
    <t>Закуп</t>
  </si>
  <si>
    <t>Гайка для контактной сварки DIN 929-M5-A2</t>
  </si>
  <si>
    <t>Шпилька DIN976-1-M6x40-B-8.8-A2</t>
  </si>
  <si>
    <t>-</t>
  </si>
  <si>
    <t>Упор</t>
  </si>
  <si>
    <t>Лист нижний</t>
  </si>
  <si>
    <t>6</t>
  </si>
  <si>
    <t>Подвижная часть загрузочной секции</t>
  </si>
  <si>
    <t>Рамка инлета в сборе</t>
  </si>
  <si>
    <t>Дверца инлета в сборе</t>
  </si>
  <si>
    <t>7</t>
  </si>
  <si>
    <t>Замок в сборе</t>
  </si>
  <si>
    <t>S 9216K уплотнитель вертикальный</t>
  </si>
  <si>
    <t>S 9216K уплотнитель горизонтальный</t>
  </si>
  <si>
    <t>Прокладка из резины</t>
  </si>
  <si>
    <t>Втулка дверцы</t>
  </si>
  <si>
    <t>Планка кронштейна</t>
  </si>
  <si>
    <t>8</t>
  </si>
  <si>
    <t>9</t>
  </si>
  <si>
    <t>10</t>
  </si>
  <si>
    <t>11</t>
  </si>
  <si>
    <t>12</t>
  </si>
  <si>
    <t>Гайка DIN 934 M6x1.0 ZN</t>
  </si>
  <si>
    <t>Гайка ТЕХНОТРОН ГсРФ M6x1.0</t>
  </si>
  <si>
    <t>Винт DIN 7420 M5x16x0.8 A2</t>
  </si>
  <si>
    <t>Винт DIN 965 M5x16x0.8 A2</t>
  </si>
  <si>
    <t>Винт DIN 965 M5x80x0.8 A2</t>
  </si>
  <si>
    <t>13</t>
  </si>
  <si>
    <t>14</t>
  </si>
  <si>
    <t>15</t>
  </si>
  <si>
    <t>16</t>
  </si>
  <si>
    <t>17</t>
  </si>
  <si>
    <t>Изделие в сборе (метизы)</t>
  </si>
  <si>
    <t>Название модели</t>
  </si>
  <si>
    <t>Дата проверки 6</t>
  </si>
  <si>
    <t>Пр-во / Закуп</t>
  </si>
  <si>
    <t>Лист боковой правый</t>
  </si>
  <si>
    <t>Лист боковой левый</t>
  </si>
  <si>
    <t>Лист верхний</t>
  </si>
  <si>
    <t>Уголок правый</t>
  </si>
  <si>
    <t xml:space="preserve"> Уголок левый</t>
  </si>
  <si>
    <t>GG_WP.0001.0001</t>
  </si>
  <si>
    <t>Секция загрузочная GG_WP450-S2-L1230-AISI304-TC-СB-A</t>
  </si>
  <si>
    <t>GG_WP.0002.0001</t>
  </si>
  <si>
    <t>GG_WP.0003.0001</t>
  </si>
  <si>
    <t>GG_WP.0004.0001</t>
  </si>
  <si>
    <t>GG_WP.0005.0001</t>
  </si>
  <si>
    <t>GG_WP.0006.0001</t>
  </si>
  <si>
    <t>GG_WP.0008.0001</t>
  </si>
  <si>
    <t>GG_WP.0009.0001</t>
  </si>
  <si>
    <t>GG_WP.0010.0001</t>
  </si>
  <si>
    <t>GG_WP.0011.0001</t>
  </si>
  <si>
    <t>GG_WP.0012.0001</t>
  </si>
  <si>
    <t>Секция загрузочная GG_WP450-S2-L1230-AISI304-TC-СB-A (подсборки)</t>
  </si>
  <si>
    <t>GG_WP.0001.0010СБ</t>
  </si>
  <si>
    <t>Секция загрузочная GG_WP450-S2-L1230-AISI304-TC-СB-A (детали)</t>
  </si>
  <si>
    <t>GG_WP.0001.0031</t>
  </si>
  <si>
    <t>GG_WP.0001.0022</t>
  </si>
  <si>
    <t>GG_WP.0001.0023</t>
  </si>
  <si>
    <t>GG_WP.0001.0024</t>
  </si>
  <si>
    <t>GG_WP.0001.0025</t>
  </si>
  <si>
    <t>GG_WP.0001.0026</t>
  </si>
  <si>
    <t>GG_WP.0001.0028</t>
  </si>
  <si>
    <t>GG_WP.0001.0029</t>
  </si>
  <si>
    <t>Ивлев</t>
  </si>
  <si>
    <t>Кальмар</t>
  </si>
  <si>
    <t>ООО "МОЯ ОБОРОНА"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</si>
</sst>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Cascadia Code"/>
      <family val="3"/>
      <charset val="204"/>
    </font>
    <font>
      <sz val="10"/>
      <color theme="1"/>
      <name val="Cascadia Code"/>
      <family val="3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Continuous" vertical="center" wrapText="1"/>
    </xf>
    <xf numFmtId="0" fontId="2" fillId="2" borderId="1" xfId="0" applyNumberFormat="1" applyFont="1" applyFill="1" applyBorder="1" applyAlignment="1">
      <alignment horizontal="centerContinuous" vertical="center" wrapText="1"/>
    </xf>
    <xf numFmtId="49" fontId="2" fillId="4" borderId="1" xfId="0" applyNumberFormat="1" applyFont="1" applyFill="1" applyBorder="1" applyAlignment="1">
      <alignment horizontal="centerContinuous" vertical="center" wrapText="1"/>
    </xf>
    <xf numFmtId="0" fontId="2" fillId="4" borderId="1" xfId="0" applyNumberFormat="1" applyFont="1" applyFill="1" applyBorder="1" applyAlignment="1">
      <alignment horizontal="centerContinuous" vertical="center" wrapText="1"/>
    </xf>
    <xf numFmtId="14" fontId="2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F8FCD-C081-43F9-A96C-CC8DE09392E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8966-F3EB-4D05-AC0F-6E31E31D1E6F}">
  <dimension ref="A1"/>
  <sheetViews>
    <sheetView workbookViewId="0">
      <selection activeCell="L38" sqref="L38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6"/>
  <sheetViews>
    <sheetView tabSelected="1" zoomScaleNormal="100" workbookViewId="0">
      <selection activeCell="O3" sqref="O3"/>
    </sheetView>
  </sheetViews>
  <sheetFormatPr defaultRowHeight="14.25" x14ac:dyDescent="0.25"/>
  <cols>
    <col min="1" max="1" width="12.7109375" style="1" customWidth="1"/>
    <col min="2" max="4" width="30.7109375" style="1" customWidth="1"/>
    <col min="5" max="18" width="15.7109375" style="1" customWidth="1"/>
    <col min="19" max="19" width="20.7109375" style="1" customWidth="1"/>
    <col min="20" max="20" width="9.140625" style="1"/>
    <col min="21" max="21" width="19.28515625" style="1" customWidth="1"/>
    <col min="22" max="16384" width="9.140625" style="1"/>
  </cols>
  <sheetData>
    <row r="1" spans="1:19" ht="28.5" x14ac:dyDescent="0.25">
      <c r="A1" s="5" t="s">
        <v>0</v>
      </c>
      <c r="B1" s="5" t="s">
        <v>65</v>
      </c>
      <c r="C1" s="5" t="s">
        <v>14</v>
      </c>
      <c r="D1" s="5" t="s">
        <v>15</v>
      </c>
      <c r="E1" s="5" t="s">
        <v>18</v>
      </c>
      <c r="F1" s="5" t="s">
        <v>67</v>
      </c>
      <c r="G1" s="5" t="s">
        <v>1</v>
      </c>
      <c r="H1" s="5" t="s">
        <v>16</v>
      </c>
      <c r="I1" s="5" t="s">
        <v>2</v>
      </c>
      <c r="J1" s="5" t="s">
        <v>10</v>
      </c>
      <c r="K1" s="5" t="s">
        <v>3</v>
      </c>
      <c r="L1" s="5" t="s">
        <v>11</v>
      </c>
      <c r="M1" s="5" t="s">
        <v>4</v>
      </c>
      <c r="N1" s="5" t="s">
        <v>12</v>
      </c>
      <c r="O1" s="5" t="s">
        <v>5</v>
      </c>
      <c r="P1" s="5" t="s">
        <v>13</v>
      </c>
      <c r="Q1" s="5" t="s">
        <v>6</v>
      </c>
      <c r="R1" s="5" t="s">
        <v>66</v>
      </c>
      <c r="S1" s="5" t="s">
        <v>7</v>
      </c>
    </row>
    <row r="2" spans="1:19" x14ac:dyDescent="0.25">
      <c r="A2" s="14" t="s">
        <v>20</v>
      </c>
      <c r="B2" s="15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42.75" x14ac:dyDescent="0.25">
      <c r="A3" s="3" t="s">
        <v>23</v>
      </c>
      <c r="B3" s="13" t="str">
        <f t="shared" ref="B3:B9" si="0">(IF((F3 = "Пр-во"), (C3 &amp; " - " &amp; D3), D3)) &amp; IF(E3="Сборка", ".iam", ".ipt")</f>
        <v>GG_WP.0001.0001 - Секция загрузочная GG_WP450-S2-L1230-AISI304-TC-СB-A.iam</v>
      </c>
      <c r="C3" s="3" t="s">
        <v>73</v>
      </c>
      <c r="D3" s="6" t="s">
        <v>74</v>
      </c>
      <c r="E3" s="3" t="s">
        <v>26</v>
      </c>
      <c r="F3" s="3" t="s">
        <v>28</v>
      </c>
      <c r="G3" s="3" t="s">
        <v>96</v>
      </c>
      <c r="H3" s="18">
        <v>46083</v>
      </c>
      <c r="I3" s="3" t="s">
        <v>97</v>
      </c>
      <c r="J3" s="18">
        <v>46083</v>
      </c>
      <c r="K3" s="3" t="s">
        <v>35</v>
      </c>
      <c r="L3" s="3" t="s">
        <v>35</v>
      </c>
      <c r="M3" s="3" t="s">
        <v>97</v>
      </c>
      <c r="N3" s="18">
        <v>46083</v>
      </c>
      <c r="O3" s="3" t="s">
        <v>97</v>
      </c>
      <c r="P3" s="18">
        <v>46083</v>
      </c>
      <c r="Q3" s="3" t="s">
        <v>97</v>
      </c>
      <c r="R3" s="18">
        <v>46083</v>
      </c>
      <c r="S3" s="3" t="s">
        <v>98</v>
      </c>
    </row>
    <row r="4" spans="1:19" ht="42.75" x14ac:dyDescent="0.25">
      <c r="A4" s="3" t="s">
        <v>24</v>
      </c>
      <c r="B4" s="13" t="str">
        <f t="shared" si="0"/>
        <v>GG_WP.0002.0001 - Подвижная часть загрузочной секции.iam</v>
      </c>
      <c r="C4" s="3" t="s">
        <v>75</v>
      </c>
      <c r="D4" s="7" t="s">
        <v>39</v>
      </c>
      <c r="E4" s="3" t="s">
        <v>26</v>
      </c>
      <c r="F4" s="3" t="s">
        <v>28</v>
      </c>
      <c r="G4" s="3" t="s">
        <v>96</v>
      </c>
      <c r="H4" s="18">
        <v>46083</v>
      </c>
      <c r="I4" s="3" t="s">
        <v>97</v>
      </c>
      <c r="J4" s="18">
        <v>46083</v>
      </c>
      <c r="K4" s="3" t="s">
        <v>35</v>
      </c>
      <c r="L4" s="3" t="s">
        <v>35</v>
      </c>
      <c r="M4" s="3" t="s">
        <v>97</v>
      </c>
      <c r="N4" s="18">
        <v>46083</v>
      </c>
      <c r="O4" s="3" t="s">
        <v>97</v>
      </c>
      <c r="P4" s="18">
        <v>46083</v>
      </c>
      <c r="Q4" s="3" t="s">
        <v>97</v>
      </c>
      <c r="R4" s="18">
        <v>46083</v>
      </c>
      <c r="S4" s="3" t="s">
        <v>98</v>
      </c>
    </row>
    <row r="5" spans="1:19" ht="28.5" x14ac:dyDescent="0.25">
      <c r="A5" s="3" t="s">
        <v>29</v>
      </c>
      <c r="B5" s="13" t="str">
        <f t="shared" si="0"/>
        <v>GG_WP.0003.0001 - Рамка инлета в сборе.iam</v>
      </c>
      <c r="C5" s="3" t="s">
        <v>76</v>
      </c>
      <c r="D5" s="8" t="s">
        <v>40</v>
      </c>
      <c r="E5" s="3" t="s">
        <v>26</v>
      </c>
      <c r="F5" s="3" t="s">
        <v>28</v>
      </c>
      <c r="G5" s="3" t="s">
        <v>96</v>
      </c>
      <c r="H5" s="18">
        <v>46083</v>
      </c>
      <c r="I5" s="3" t="s">
        <v>97</v>
      </c>
      <c r="J5" s="18">
        <v>46083</v>
      </c>
      <c r="K5" s="3" t="s">
        <v>35</v>
      </c>
      <c r="L5" s="3" t="s">
        <v>35</v>
      </c>
      <c r="M5" s="3" t="s">
        <v>97</v>
      </c>
      <c r="N5" s="18">
        <v>46083</v>
      </c>
      <c r="O5" s="3" t="s">
        <v>97</v>
      </c>
      <c r="P5" s="18">
        <v>46083</v>
      </c>
      <c r="Q5" s="3" t="s">
        <v>97</v>
      </c>
      <c r="R5" s="18">
        <v>46083</v>
      </c>
      <c r="S5" s="3" t="s">
        <v>98</v>
      </c>
    </row>
    <row r="6" spans="1:19" ht="28.5" x14ac:dyDescent="0.25">
      <c r="A6" s="3" t="s">
        <v>30</v>
      </c>
      <c r="B6" s="13" t="str">
        <f t="shared" si="0"/>
        <v>GG_WP.0004.0001 - Дверца инлета в сборе.iam</v>
      </c>
      <c r="C6" s="3" t="s">
        <v>77</v>
      </c>
      <c r="D6" s="9" t="s">
        <v>41</v>
      </c>
      <c r="E6" s="3" t="s">
        <v>26</v>
      </c>
      <c r="F6" s="3" t="s">
        <v>28</v>
      </c>
      <c r="G6" s="3" t="s">
        <v>96</v>
      </c>
      <c r="H6" s="18">
        <v>46083</v>
      </c>
      <c r="I6" s="3" t="s">
        <v>97</v>
      </c>
      <c r="J6" s="18">
        <v>46083</v>
      </c>
      <c r="K6" s="3" t="s">
        <v>35</v>
      </c>
      <c r="L6" s="3" t="s">
        <v>35</v>
      </c>
      <c r="M6" s="3" t="s">
        <v>97</v>
      </c>
      <c r="N6" s="18">
        <v>46083</v>
      </c>
      <c r="O6" s="3" t="s">
        <v>97</v>
      </c>
      <c r="P6" s="18">
        <v>46083</v>
      </c>
      <c r="Q6" s="3" t="s">
        <v>97</v>
      </c>
      <c r="R6" s="18">
        <v>46083</v>
      </c>
      <c r="S6" s="3" t="s">
        <v>98</v>
      </c>
    </row>
    <row r="7" spans="1:19" ht="42.75" x14ac:dyDescent="0.25">
      <c r="A7" s="3" t="s">
        <v>31</v>
      </c>
      <c r="B7" s="13" t="str">
        <f t="shared" si="0"/>
        <v>GG_WP.0005.0001 - Приемная часть кронштейна.iam</v>
      </c>
      <c r="C7" s="3" t="s">
        <v>78</v>
      </c>
      <c r="D7" s="10" t="s">
        <v>8</v>
      </c>
      <c r="E7" s="3" t="s">
        <v>26</v>
      </c>
      <c r="F7" s="3" t="s">
        <v>28</v>
      </c>
      <c r="G7" s="3" t="s">
        <v>96</v>
      </c>
      <c r="H7" s="18">
        <v>46083</v>
      </c>
      <c r="I7" s="3" t="s">
        <v>97</v>
      </c>
      <c r="J7" s="18">
        <v>46083</v>
      </c>
      <c r="K7" s="3" t="s">
        <v>35</v>
      </c>
      <c r="L7" s="3" t="s">
        <v>35</v>
      </c>
      <c r="M7" s="3" t="s">
        <v>97</v>
      </c>
      <c r="N7" s="18">
        <v>46083</v>
      </c>
      <c r="O7" s="3" t="s">
        <v>97</v>
      </c>
      <c r="P7" s="18">
        <v>46083</v>
      </c>
      <c r="Q7" s="3" t="s">
        <v>97</v>
      </c>
      <c r="R7" s="18">
        <v>46083</v>
      </c>
      <c r="S7" s="3" t="s">
        <v>98</v>
      </c>
    </row>
    <row r="8" spans="1:19" ht="42.75" x14ac:dyDescent="0.25">
      <c r="A8" s="3" t="s">
        <v>38</v>
      </c>
      <c r="B8" s="13" t="str">
        <f t="shared" si="0"/>
        <v>GG_WP.0006.0001 - Ответная часть кронштейна и короб.iam</v>
      </c>
      <c r="C8" s="3" t="s">
        <v>79</v>
      </c>
      <c r="D8" s="11" t="s">
        <v>9</v>
      </c>
      <c r="E8" s="3" t="s">
        <v>26</v>
      </c>
      <c r="F8" s="3" t="s">
        <v>28</v>
      </c>
      <c r="G8" s="3" t="s">
        <v>96</v>
      </c>
      <c r="H8" s="18">
        <v>46083</v>
      </c>
      <c r="I8" s="3" t="s">
        <v>97</v>
      </c>
      <c r="J8" s="18">
        <v>46083</v>
      </c>
      <c r="K8" s="3" t="s">
        <v>35</v>
      </c>
      <c r="L8" s="3" t="s">
        <v>35</v>
      </c>
      <c r="M8" s="3" t="s">
        <v>97</v>
      </c>
      <c r="N8" s="18">
        <v>46083</v>
      </c>
      <c r="O8" s="3" t="s">
        <v>97</v>
      </c>
      <c r="P8" s="18">
        <v>46083</v>
      </c>
      <c r="Q8" s="3" t="s">
        <v>97</v>
      </c>
      <c r="R8" s="18">
        <v>46083</v>
      </c>
      <c r="S8" s="3" t="s">
        <v>98</v>
      </c>
    </row>
    <row r="9" spans="1:19" x14ac:dyDescent="0.25">
      <c r="A9" s="3" t="s">
        <v>42</v>
      </c>
      <c r="B9" s="13" t="str">
        <f t="shared" si="0"/>
        <v>Замок в сборе.iam</v>
      </c>
      <c r="C9" s="3" t="s">
        <v>35</v>
      </c>
      <c r="D9" s="12" t="s">
        <v>43</v>
      </c>
      <c r="E9" s="3" t="s">
        <v>26</v>
      </c>
      <c r="F9" s="3" t="s">
        <v>32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R9" s="4" t="s">
        <v>35</v>
      </c>
      <c r="S9" s="4" t="s">
        <v>35</v>
      </c>
    </row>
    <row r="10" spans="1:19" x14ac:dyDescent="0.25">
      <c r="A10" s="14" t="s">
        <v>19</v>
      </c>
      <c r="B10" s="15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 ht="28.5" x14ac:dyDescent="0.25">
      <c r="A11" s="3" t="s">
        <v>49</v>
      </c>
      <c r="B11" s="13" t="str">
        <f>(IF((F11 = "Пр-во"), (C11 &amp; " - " &amp; D11), D11)) &amp; IF(E11="Сборка", ".iam", ".ipt")</f>
        <v>GG_WP.0008.0001 - Планка кронштейна.ipt</v>
      </c>
      <c r="C11" s="3" t="s">
        <v>80</v>
      </c>
      <c r="D11" s="3" t="s">
        <v>48</v>
      </c>
      <c r="E11" s="4" t="s">
        <v>25</v>
      </c>
      <c r="F11" s="3" t="s">
        <v>28</v>
      </c>
      <c r="G11" s="3" t="s">
        <v>96</v>
      </c>
      <c r="H11" s="18">
        <v>46083</v>
      </c>
      <c r="I11" s="3" t="s">
        <v>97</v>
      </c>
      <c r="J11" s="18">
        <v>46083</v>
      </c>
      <c r="K11" s="3" t="s">
        <v>35</v>
      </c>
      <c r="L11" s="3" t="s">
        <v>35</v>
      </c>
      <c r="M11" s="3" t="s">
        <v>97</v>
      </c>
      <c r="N11" s="18">
        <v>46083</v>
      </c>
      <c r="O11" s="3" t="s">
        <v>97</v>
      </c>
      <c r="P11" s="18">
        <v>46083</v>
      </c>
      <c r="Q11" s="3" t="s">
        <v>97</v>
      </c>
      <c r="R11" s="18">
        <v>46083</v>
      </c>
      <c r="S11" s="3" t="s">
        <v>98</v>
      </c>
    </row>
    <row r="12" spans="1:19" ht="28.5" x14ac:dyDescent="0.25">
      <c r="A12" s="3" t="s">
        <v>50</v>
      </c>
      <c r="B12" s="13" t="str">
        <f>(IF((F12 = "Пр-во"), (C12 &amp; " - " &amp; D12), D12)) &amp; IF(E12="Сборка", ".iam", ".ipt")</f>
        <v>GG_WP.0009.0001 - Прокладка из резины.ipt</v>
      </c>
      <c r="C12" s="3" t="s">
        <v>81</v>
      </c>
      <c r="D12" s="3" t="s">
        <v>46</v>
      </c>
      <c r="E12" s="4" t="s">
        <v>25</v>
      </c>
      <c r="F12" s="3" t="s">
        <v>28</v>
      </c>
      <c r="G12" s="3" t="s">
        <v>96</v>
      </c>
      <c r="H12" s="18">
        <v>46083</v>
      </c>
      <c r="I12" s="3" t="s">
        <v>97</v>
      </c>
      <c r="J12" s="18">
        <v>46083</v>
      </c>
      <c r="K12" s="3" t="s">
        <v>35</v>
      </c>
      <c r="L12" s="3" t="s">
        <v>35</v>
      </c>
      <c r="M12" s="3" t="s">
        <v>97</v>
      </c>
      <c r="N12" s="18">
        <v>46083</v>
      </c>
      <c r="O12" s="3" t="s">
        <v>97</v>
      </c>
      <c r="P12" s="18">
        <v>46083</v>
      </c>
      <c r="Q12" s="3" t="s">
        <v>97</v>
      </c>
      <c r="R12" s="18">
        <v>46083</v>
      </c>
      <c r="S12" s="3" t="s">
        <v>98</v>
      </c>
    </row>
    <row r="13" spans="1:19" ht="42.75" x14ac:dyDescent="0.25">
      <c r="A13" s="3" t="s">
        <v>51</v>
      </c>
      <c r="B13" s="13" t="str">
        <f>(IF((F13 = "Пр-во"), (C13 &amp; " - " &amp; D13), D13)) &amp; IF(E13="Сборка", ".iam", ".ipt")</f>
        <v>GG_WP.0010.0001 - S 9216K уплотнитель вертикальный.ipt</v>
      </c>
      <c r="C13" s="3" t="s">
        <v>82</v>
      </c>
      <c r="D13" s="4" t="s">
        <v>44</v>
      </c>
      <c r="E13" s="4" t="s">
        <v>25</v>
      </c>
      <c r="F13" s="3" t="s">
        <v>28</v>
      </c>
      <c r="G13" s="3" t="s">
        <v>96</v>
      </c>
      <c r="H13" s="18">
        <v>46083</v>
      </c>
      <c r="I13" s="3" t="s">
        <v>97</v>
      </c>
      <c r="J13" s="18">
        <v>46083</v>
      </c>
      <c r="K13" s="3" t="s">
        <v>35</v>
      </c>
      <c r="L13" s="3" t="s">
        <v>35</v>
      </c>
      <c r="M13" s="3" t="s">
        <v>97</v>
      </c>
      <c r="N13" s="18">
        <v>46083</v>
      </c>
      <c r="O13" s="3" t="s">
        <v>97</v>
      </c>
      <c r="P13" s="18">
        <v>46083</v>
      </c>
      <c r="Q13" s="3" t="s">
        <v>97</v>
      </c>
      <c r="R13" s="18">
        <v>46083</v>
      </c>
      <c r="S13" s="3" t="s">
        <v>98</v>
      </c>
    </row>
    <row r="14" spans="1:19" ht="42.75" x14ac:dyDescent="0.25">
      <c r="A14" s="3" t="s">
        <v>52</v>
      </c>
      <c r="B14" s="13" t="str">
        <f>(IF((F14 = "Пр-во"), (C14 &amp; " - " &amp; D14), D14)) &amp; IF(E14="Сборка", ".iam", ".ipt")</f>
        <v>GG_WP.0011.0001 - S 9216K уплотнитель горизонтальный.ipt</v>
      </c>
      <c r="C14" s="3" t="s">
        <v>83</v>
      </c>
      <c r="D14" s="4" t="s">
        <v>45</v>
      </c>
      <c r="E14" s="4" t="s">
        <v>25</v>
      </c>
      <c r="F14" s="3" t="s">
        <v>28</v>
      </c>
      <c r="G14" s="3" t="s">
        <v>96</v>
      </c>
      <c r="H14" s="18">
        <v>46083</v>
      </c>
      <c r="I14" s="3" t="s">
        <v>97</v>
      </c>
      <c r="J14" s="18">
        <v>46083</v>
      </c>
      <c r="K14" s="3" t="s">
        <v>35</v>
      </c>
      <c r="L14" s="3" t="s">
        <v>35</v>
      </c>
      <c r="M14" s="3" t="s">
        <v>97</v>
      </c>
      <c r="N14" s="18">
        <v>46083</v>
      </c>
      <c r="O14" s="3" t="s">
        <v>97</v>
      </c>
      <c r="P14" s="18">
        <v>46083</v>
      </c>
      <c r="Q14" s="3" t="s">
        <v>97</v>
      </c>
      <c r="R14" s="18">
        <v>46083</v>
      </c>
      <c r="S14" s="3" t="s">
        <v>98</v>
      </c>
    </row>
    <row r="15" spans="1:19" ht="28.5" x14ac:dyDescent="0.25">
      <c r="A15" s="3" t="s">
        <v>53</v>
      </c>
      <c r="B15" s="13" t="str">
        <f>(IF((F15 = "Пр-во"), (C15 &amp; " - " &amp; D15), D15)) &amp; IF(E15="Сборка", ".iam", ".ipt")</f>
        <v>GG_WP.0012.0001 - Втулка дверцы.ipt</v>
      </c>
      <c r="C15" s="3" t="s">
        <v>84</v>
      </c>
      <c r="D15" s="3" t="s">
        <v>47</v>
      </c>
      <c r="E15" s="4" t="s">
        <v>25</v>
      </c>
      <c r="F15" s="3" t="s">
        <v>28</v>
      </c>
      <c r="G15" s="3" t="s">
        <v>96</v>
      </c>
      <c r="H15" s="18">
        <v>46083</v>
      </c>
      <c r="I15" s="3" t="s">
        <v>97</v>
      </c>
      <c r="J15" s="18">
        <v>46083</v>
      </c>
      <c r="K15" s="3" t="s">
        <v>35</v>
      </c>
      <c r="L15" s="3" t="s">
        <v>35</v>
      </c>
      <c r="M15" s="3" t="s">
        <v>97</v>
      </c>
      <c r="N15" s="18">
        <v>46083</v>
      </c>
      <c r="O15" s="3" t="s">
        <v>97</v>
      </c>
      <c r="P15" s="18">
        <v>46083</v>
      </c>
      <c r="Q15" s="3" t="s">
        <v>97</v>
      </c>
      <c r="R15" s="18">
        <v>46083</v>
      </c>
      <c r="S15" s="3" t="s">
        <v>98</v>
      </c>
    </row>
    <row r="16" spans="1:19" x14ac:dyDescent="0.25">
      <c r="A16" s="14" t="s">
        <v>64</v>
      </c>
      <c r="B16" s="15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21" ht="28.5" x14ac:dyDescent="0.25">
      <c r="A17" s="3" t="s">
        <v>59</v>
      </c>
      <c r="B17" s="13" t="str">
        <f>(IF((F17 = "Пр-во"), (C17 &amp; " - " &amp; D17), D17)) &amp; IF(E17="Сборка", ".iam", ".ipt")</f>
        <v>Гайка DIN 934 M6x1.0 ZN.ipt</v>
      </c>
      <c r="C17" s="3" t="s">
        <v>35</v>
      </c>
      <c r="D17" s="3" t="s">
        <v>54</v>
      </c>
      <c r="E17" s="4" t="s">
        <v>25</v>
      </c>
      <c r="F17" s="3" t="s">
        <v>32</v>
      </c>
      <c r="G17" s="4" t="s">
        <v>35</v>
      </c>
      <c r="H17" s="4" t="s">
        <v>35</v>
      </c>
      <c r="I17" s="4" t="s">
        <v>35</v>
      </c>
      <c r="J17" s="4" t="s">
        <v>35</v>
      </c>
      <c r="K17" s="4" t="s">
        <v>35</v>
      </c>
      <c r="L17" s="4" t="s">
        <v>35</v>
      </c>
      <c r="M17" s="4" t="s">
        <v>35</v>
      </c>
      <c r="N17" s="4" t="s">
        <v>35</v>
      </c>
      <c r="O17" s="4" t="s">
        <v>35</v>
      </c>
      <c r="P17" s="4" t="s">
        <v>35</v>
      </c>
      <c r="Q17" s="4" t="s">
        <v>35</v>
      </c>
      <c r="R17" s="4" t="s">
        <v>35</v>
      </c>
      <c r="S17" s="4" t="s">
        <v>35</v>
      </c>
    </row>
    <row r="18" spans="1:21" ht="28.5" x14ac:dyDescent="0.25">
      <c r="A18" s="3" t="s">
        <v>60</v>
      </c>
      <c r="B18" s="13" t="str">
        <f>(IF((F18 = "Пр-во"), (C18 &amp; " - " &amp; D18), D18)) &amp; IF(E18="Сборка", ".iam", ".ipt")</f>
        <v>Гайка ТЕХНОТРОН ГсРФ M6x1.0.ipt</v>
      </c>
      <c r="C18" s="3" t="s">
        <v>35</v>
      </c>
      <c r="D18" s="3" t="s">
        <v>55</v>
      </c>
      <c r="E18" s="4" t="s">
        <v>25</v>
      </c>
      <c r="F18" s="3" t="s">
        <v>32</v>
      </c>
      <c r="G18" s="4" t="s">
        <v>35</v>
      </c>
      <c r="H18" s="4" t="s">
        <v>35</v>
      </c>
      <c r="I18" s="4" t="s">
        <v>35</v>
      </c>
      <c r="J18" s="4" t="s">
        <v>35</v>
      </c>
      <c r="K18" s="4" t="s">
        <v>35</v>
      </c>
      <c r="L18" s="4" t="s">
        <v>35</v>
      </c>
      <c r="M18" s="4" t="s">
        <v>35</v>
      </c>
      <c r="N18" s="4" t="s">
        <v>35</v>
      </c>
      <c r="O18" s="4" t="s">
        <v>35</v>
      </c>
      <c r="P18" s="4" t="s">
        <v>35</v>
      </c>
      <c r="Q18" s="4" t="s">
        <v>35</v>
      </c>
      <c r="R18" s="4" t="s">
        <v>35</v>
      </c>
      <c r="S18" s="4" t="s">
        <v>35</v>
      </c>
    </row>
    <row r="19" spans="1:21" ht="28.5" x14ac:dyDescent="0.25">
      <c r="A19" s="3" t="s">
        <v>61</v>
      </c>
      <c r="B19" s="13" t="str">
        <f>(IF((F19 = "Пр-во"), (C19 &amp; " - " &amp; D19), D19)) &amp; IF(E19="Сборка", ".iam", ".ipt")</f>
        <v>Винт DIN 7420 M5x16x0.8 A2.ipt</v>
      </c>
      <c r="C19" s="3" t="s">
        <v>35</v>
      </c>
      <c r="D19" s="4" t="s">
        <v>56</v>
      </c>
      <c r="E19" s="4" t="s">
        <v>25</v>
      </c>
      <c r="F19" s="3" t="s">
        <v>32</v>
      </c>
      <c r="G19" s="4" t="s">
        <v>35</v>
      </c>
      <c r="H19" s="4" t="s">
        <v>35</v>
      </c>
      <c r="I19" s="4" t="s">
        <v>35</v>
      </c>
      <c r="J19" s="4" t="s">
        <v>35</v>
      </c>
      <c r="K19" s="4" t="s">
        <v>35</v>
      </c>
      <c r="L19" s="4" t="s">
        <v>35</v>
      </c>
      <c r="M19" s="4" t="s">
        <v>35</v>
      </c>
      <c r="N19" s="4" t="s">
        <v>35</v>
      </c>
      <c r="O19" s="4" t="s">
        <v>35</v>
      </c>
      <c r="P19" s="4" t="s">
        <v>35</v>
      </c>
      <c r="Q19" s="4" t="s">
        <v>35</v>
      </c>
      <c r="R19" s="4" t="s">
        <v>35</v>
      </c>
      <c r="S19" s="4" t="s">
        <v>35</v>
      </c>
    </row>
    <row r="20" spans="1:21" ht="28.5" x14ac:dyDescent="0.25">
      <c r="A20" s="3" t="s">
        <v>62</v>
      </c>
      <c r="B20" s="13" t="str">
        <f>(IF((F20 = "Пр-во"), (C20 &amp; " - " &amp; D20), D20)) &amp; IF(E20="Сборка", ".iam", ".ipt")</f>
        <v>Винт DIN 965 M5x16x0.8 A2.ipt</v>
      </c>
      <c r="C20" s="3" t="s">
        <v>35</v>
      </c>
      <c r="D20" s="4" t="s">
        <v>57</v>
      </c>
      <c r="E20" s="4" t="s">
        <v>25</v>
      </c>
      <c r="F20" s="3" t="s">
        <v>32</v>
      </c>
      <c r="G20" s="4" t="s">
        <v>35</v>
      </c>
      <c r="H20" s="4" t="s">
        <v>35</v>
      </c>
      <c r="I20" s="4" t="s">
        <v>35</v>
      </c>
      <c r="J20" s="4" t="s">
        <v>35</v>
      </c>
      <c r="K20" s="4" t="s">
        <v>35</v>
      </c>
      <c r="L20" s="4" t="s">
        <v>35</v>
      </c>
      <c r="M20" s="4" t="s">
        <v>35</v>
      </c>
      <c r="N20" s="4" t="s">
        <v>35</v>
      </c>
      <c r="O20" s="4" t="s">
        <v>35</v>
      </c>
      <c r="P20" s="4" t="s">
        <v>35</v>
      </c>
      <c r="Q20" s="4" t="s">
        <v>35</v>
      </c>
      <c r="R20" s="4" t="s">
        <v>35</v>
      </c>
      <c r="S20" s="4" t="s">
        <v>35</v>
      </c>
    </row>
    <row r="21" spans="1:21" ht="28.5" x14ac:dyDescent="0.25">
      <c r="A21" s="3" t="s">
        <v>63</v>
      </c>
      <c r="B21" s="13" t="str">
        <f>(IF((F21 = "Пр-во"), (C21 &amp; " - " &amp; D21), D21)) &amp; IF(E21="Сборка", ".iam", ".ipt")</f>
        <v>Винт DIN 965 M5x80x0.8 A2.ipt</v>
      </c>
      <c r="C21" s="3" t="s">
        <v>35</v>
      </c>
      <c r="D21" s="4" t="s">
        <v>58</v>
      </c>
      <c r="E21" s="4" t="s">
        <v>25</v>
      </c>
      <c r="F21" s="3" t="s">
        <v>32</v>
      </c>
      <c r="G21" s="4" t="s">
        <v>35</v>
      </c>
      <c r="H21" s="4" t="s">
        <v>35</v>
      </c>
      <c r="I21" s="4" t="s">
        <v>35</v>
      </c>
      <c r="J21" s="4" t="s">
        <v>35</v>
      </c>
      <c r="K21" s="4" t="s">
        <v>35</v>
      </c>
      <c r="L21" s="4" t="s">
        <v>35</v>
      </c>
      <c r="M21" s="4" t="s">
        <v>35</v>
      </c>
      <c r="N21" s="4" t="s">
        <v>35</v>
      </c>
      <c r="O21" s="4" t="s">
        <v>35</v>
      </c>
      <c r="P21" s="4" t="s">
        <v>35</v>
      </c>
      <c r="Q21" s="4" t="s">
        <v>35</v>
      </c>
      <c r="R21" s="4" t="s">
        <v>35</v>
      </c>
      <c r="S21" s="4" t="s">
        <v>35</v>
      </c>
    </row>
    <row r="22" spans="1:21" x14ac:dyDescent="0.25">
      <c r="A22" s="16" t="s">
        <v>85</v>
      </c>
      <c r="B22" s="17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21" ht="28.5" x14ac:dyDescent="0.25">
      <c r="A23" s="3" t="s">
        <v>23</v>
      </c>
      <c r="B23" s="13" t="str">
        <f>(IF((F23 = "Пр-во"), (C23 &amp; " - " &amp; D23), D23)) &amp; IF(E23="Сборка", ".iam", ".ipt")</f>
        <v>GG_WP.0001.0010СБ - Обечайка в сборе.iam</v>
      </c>
      <c r="C23" s="3" t="s">
        <v>86</v>
      </c>
      <c r="D23" s="5" t="s">
        <v>27</v>
      </c>
      <c r="E23" s="3" t="s">
        <v>26</v>
      </c>
      <c r="F23" s="3" t="s">
        <v>28</v>
      </c>
      <c r="G23" s="3" t="s">
        <v>96</v>
      </c>
      <c r="H23" s="18">
        <v>46083</v>
      </c>
      <c r="I23" s="3" t="s">
        <v>97</v>
      </c>
      <c r="J23" s="18">
        <v>46083</v>
      </c>
      <c r="K23" s="3" t="s">
        <v>35</v>
      </c>
      <c r="L23" s="3" t="s">
        <v>35</v>
      </c>
      <c r="M23" s="3" t="s">
        <v>97</v>
      </c>
      <c r="N23" s="18">
        <v>46083</v>
      </c>
      <c r="O23" s="3" t="s">
        <v>97</v>
      </c>
      <c r="P23" s="18">
        <v>46083</v>
      </c>
      <c r="Q23" s="3" t="s">
        <v>97</v>
      </c>
      <c r="R23" s="18">
        <v>46083</v>
      </c>
      <c r="S23" s="3" t="s">
        <v>98</v>
      </c>
    </row>
    <row r="24" spans="1:21" x14ac:dyDescent="0.25">
      <c r="A24" s="16" t="s">
        <v>87</v>
      </c>
      <c r="B24" s="17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2"/>
      <c r="U24" s="2"/>
    </row>
    <row r="25" spans="1:21" ht="28.5" x14ac:dyDescent="0.25">
      <c r="A25" s="4" t="s">
        <v>24</v>
      </c>
      <c r="B25" s="13" t="str">
        <f>(IF((F25 = "Пр-во"), (C25 &amp; " - " &amp; D25), D25)) &amp; IF(E25="Сборка", ".iam", ".ipt")</f>
        <v>GG_WP.0001.0031 - Секция.ipt</v>
      </c>
      <c r="C25" s="4" t="s">
        <v>88</v>
      </c>
      <c r="D25" s="4" t="s">
        <v>17</v>
      </c>
      <c r="E25" s="4" t="s">
        <v>25</v>
      </c>
      <c r="F25" s="3" t="s">
        <v>28</v>
      </c>
      <c r="G25" s="3" t="s">
        <v>96</v>
      </c>
      <c r="H25" s="18">
        <v>46083</v>
      </c>
      <c r="I25" s="3" t="s">
        <v>97</v>
      </c>
      <c r="J25" s="18">
        <v>46083</v>
      </c>
      <c r="K25" s="3" t="s">
        <v>35</v>
      </c>
      <c r="L25" s="3" t="s">
        <v>35</v>
      </c>
      <c r="M25" s="3" t="s">
        <v>97</v>
      </c>
      <c r="N25" s="18">
        <v>46083</v>
      </c>
      <c r="O25" s="3" t="s">
        <v>97</v>
      </c>
      <c r="P25" s="18">
        <v>46083</v>
      </c>
      <c r="Q25" s="3" t="s">
        <v>97</v>
      </c>
      <c r="R25" s="18">
        <v>46083</v>
      </c>
      <c r="S25" s="3" t="s">
        <v>98</v>
      </c>
      <c r="T25" s="2"/>
      <c r="U25" s="2"/>
    </row>
    <row r="26" spans="1:21" x14ac:dyDescent="0.25">
      <c r="A26" s="16" t="s">
        <v>21</v>
      </c>
      <c r="B26" s="17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21" ht="28.5" x14ac:dyDescent="0.25">
      <c r="A27" s="3" t="s">
        <v>23</v>
      </c>
      <c r="B27" s="13" t="str">
        <f>(IF((F27 = "Пр-во"), (C27 &amp; " - " &amp; D27), D27)) &amp; IF(E27="Сборка", ".iam", ".ipt")</f>
        <v>GG_WP.0001.0022 - Лист нижний.ipt</v>
      </c>
      <c r="C27" s="3" t="s">
        <v>89</v>
      </c>
      <c r="D27" s="3" t="s">
        <v>37</v>
      </c>
      <c r="E27" s="4" t="s">
        <v>25</v>
      </c>
      <c r="F27" s="3" t="s">
        <v>28</v>
      </c>
      <c r="G27" s="3" t="s">
        <v>96</v>
      </c>
      <c r="H27" s="18">
        <v>46083</v>
      </c>
      <c r="I27" s="3" t="s">
        <v>97</v>
      </c>
      <c r="J27" s="18">
        <v>46083</v>
      </c>
      <c r="K27" s="3" t="s">
        <v>35</v>
      </c>
      <c r="L27" s="3" t="s">
        <v>35</v>
      </c>
      <c r="M27" s="3" t="s">
        <v>97</v>
      </c>
      <c r="N27" s="18">
        <v>46083</v>
      </c>
      <c r="O27" s="3" t="s">
        <v>97</v>
      </c>
      <c r="P27" s="18">
        <v>46083</v>
      </c>
      <c r="Q27" s="3" t="s">
        <v>97</v>
      </c>
      <c r="R27" s="18">
        <v>46083</v>
      </c>
      <c r="S27" s="3" t="s">
        <v>98</v>
      </c>
    </row>
    <row r="28" spans="1:21" ht="28.5" x14ac:dyDescent="0.25">
      <c r="A28" s="3" t="s">
        <v>24</v>
      </c>
      <c r="B28" s="13" t="str">
        <f t="shared" ref="B28:B36" si="1">(IF((F28 = "Пр-во"), (C28 &amp; " - " &amp; D28), D28)) &amp; IF(E28="Сборка", ".iam", ".ipt")</f>
        <v>GG_WP.0001.0023 - Упор.ipt</v>
      </c>
      <c r="C28" s="3" t="s">
        <v>90</v>
      </c>
      <c r="D28" s="3" t="s">
        <v>36</v>
      </c>
      <c r="E28" s="4" t="s">
        <v>25</v>
      </c>
      <c r="F28" s="3" t="s">
        <v>28</v>
      </c>
      <c r="G28" s="3" t="s">
        <v>96</v>
      </c>
      <c r="H28" s="18">
        <v>46083</v>
      </c>
      <c r="I28" s="3" t="s">
        <v>97</v>
      </c>
      <c r="J28" s="18">
        <v>46083</v>
      </c>
      <c r="K28" s="3" t="s">
        <v>35</v>
      </c>
      <c r="L28" s="3" t="s">
        <v>35</v>
      </c>
      <c r="M28" s="3" t="s">
        <v>97</v>
      </c>
      <c r="N28" s="18">
        <v>46083</v>
      </c>
      <c r="O28" s="3" t="s">
        <v>97</v>
      </c>
      <c r="P28" s="18">
        <v>46083</v>
      </c>
      <c r="Q28" s="3" t="s">
        <v>97</v>
      </c>
      <c r="R28" s="18">
        <v>46083</v>
      </c>
      <c r="S28" s="3" t="s">
        <v>98</v>
      </c>
    </row>
    <row r="29" spans="1:21" ht="28.5" x14ac:dyDescent="0.25">
      <c r="A29" s="3" t="s">
        <v>29</v>
      </c>
      <c r="B29" s="13" t="str">
        <f t="shared" si="1"/>
        <v>GG_WP.0001.0024 - Лист боковой правый.ipt</v>
      </c>
      <c r="C29" s="3" t="s">
        <v>91</v>
      </c>
      <c r="D29" s="3" t="s">
        <v>68</v>
      </c>
      <c r="E29" s="4" t="s">
        <v>25</v>
      </c>
      <c r="F29" s="3" t="s">
        <v>28</v>
      </c>
      <c r="G29" s="3" t="s">
        <v>96</v>
      </c>
      <c r="H29" s="18">
        <v>46083</v>
      </c>
      <c r="I29" s="3" t="s">
        <v>97</v>
      </c>
      <c r="J29" s="18">
        <v>46083</v>
      </c>
      <c r="K29" s="3" t="s">
        <v>35</v>
      </c>
      <c r="L29" s="3" t="s">
        <v>35</v>
      </c>
      <c r="M29" s="3" t="s">
        <v>97</v>
      </c>
      <c r="N29" s="18">
        <v>46083</v>
      </c>
      <c r="O29" s="3" t="s">
        <v>97</v>
      </c>
      <c r="P29" s="18">
        <v>46083</v>
      </c>
      <c r="Q29" s="3" t="s">
        <v>97</v>
      </c>
      <c r="R29" s="18">
        <v>46083</v>
      </c>
      <c r="S29" s="3" t="s">
        <v>98</v>
      </c>
    </row>
    <row r="30" spans="1:21" ht="28.5" x14ac:dyDescent="0.25">
      <c r="A30" s="3" t="s">
        <v>30</v>
      </c>
      <c r="B30" s="13" t="str">
        <f t="shared" si="1"/>
        <v>GG_WP.0001.0025 - Лист боковой левый.ipt</v>
      </c>
      <c r="C30" s="3" t="s">
        <v>92</v>
      </c>
      <c r="D30" s="3" t="s">
        <v>69</v>
      </c>
      <c r="E30" s="4" t="s">
        <v>25</v>
      </c>
      <c r="F30" s="3" t="s">
        <v>28</v>
      </c>
      <c r="G30" s="3" t="s">
        <v>96</v>
      </c>
      <c r="H30" s="18">
        <v>46083</v>
      </c>
      <c r="I30" s="3" t="s">
        <v>97</v>
      </c>
      <c r="J30" s="18">
        <v>46083</v>
      </c>
      <c r="K30" s="3" t="s">
        <v>35</v>
      </c>
      <c r="L30" s="3" t="s">
        <v>35</v>
      </c>
      <c r="M30" s="3" t="s">
        <v>97</v>
      </c>
      <c r="N30" s="18">
        <v>46083</v>
      </c>
      <c r="O30" s="3" t="s">
        <v>97</v>
      </c>
      <c r="P30" s="18">
        <v>46083</v>
      </c>
      <c r="Q30" s="3" t="s">
        <v>97</v>
      </c>
      <c r="R30" s="18">
        <v>46083</v>
      </c>
      <c r="S30" s="3" t="s">
        <v>98</v>
      </c>
    </row>
    <row r="31" spans="1:21" ht="28.5" x14ac:dyDescent="0.25">
      <c r="A31" s="3" t="s">
        <v>31</v>
      </c>
      <c r="B31" s="13" t="str">
        <f t="shared" si="1"/>
        <v>GG_WP.0001.0026 - Лист верхний.ipt</v>
      </c>
      <c r="C31" s="3" t="s">
        <v>93</v>
      </c>
      <c r="D31" s="3" t="s">
        <v>70</v>
      </c>
      <c r="E31" s="4" t="s">
        <v>25</v>
      </c>
      <c r="F31" s="3" t="s">
        <v>28</v>
      </c>
      <c r="G31" s="3" t="s">
        <v>96</v>
      </c>
      <c r="H31" s="18">
        <v>46083</v>
      </c>
      <c r="I31" s="3" t="s">
        <v>97</v>
      </c>
      <c r="J31" s="18">
        <v>46083</v>
      </c>
      <c r="K31" s="3" t="s">
        <v>35</v>
      </c>
      <c r="L31" s="3" t="s">
        <v>35</v>
      </c>
      <c r="M31" s="3" t="s">
        <v>97</v>
      </c>
      <c r="N31" s="18">
        <v>46083</v>
      </c>
      <c r="O31" s="3" t="s">
        <v>97</v>
      </c>
      <c r="P31" s="18">
        <v>46083</v>
      </c>
      <c r="Q31" s="3" t="s">
        <v>97</v>
      </c>
      <c r="R31" s="18">
        <v>46083</v>
      </c>
      <c r="S31" s="3" t="s">
        <v>98</v>
      </c>
    </row>
    <row r="32" spans="1:21" ht="28.5" x14ac:dyDescent="0.25">
      <c r="A32" s="3" t="s">
        <v>38</v>
      </c>
      <c r="B32" s="13" t="str">
        <f t="shared" si="1"/>
        <v>GG_WP.0001.0028 - Уголок правый.ipt</v>
      </c>
      <c r="C32" s="3" t="s">
        <v>94</v>
      </c>
      <c r="D32" s="3" t="s">
        <v>71</v>
      </c>
      <c r="E32" s="4" t="s">
        <v>25</v>
      </c>
      <c r="F32" s="3" t="s">
        <v>28</v>
      </c>
      <c r="G32" s="3" t="s">
        <v>96</v>
      </c>
      <c r="H32" s="18">
        <v>46083</v>
      </c>
      <c r="I32" s="3" t="s">
        <v>97</v>
      </c>
      <c r="J32" s="18">
        <v>46083</v>
      </c>
      <c r="K32" s="3" t="s">
        <v>35</v>
      </c>
      <c r="L32" s="3" t="s">
        <v>35</v>
      </c>
      <c r="M32" s="3" t="s">
        <v>97</v>
      </c>
      <c r="N32" s="18">
        <v>46083</v>
      </c>
      <c r="O32" s="3" t="s">
        <v>97</v>
      </c>
      <c r="P32" s="18">
        <v>46083</v>
      </c>
      <c r="Q32" s="3" t="s">
        <v>97</v>
      </c>
      <c r="R32" s="18">
        <v>46083</v>
      </c>
      <c r="S32" s="3" t="s">
        <v>98</v>
      </c>
    </row>
    <row r="33" spans="1:19" ht="28.5" x14ac:dyDescent="0.25">
      <c r="A33" s="3" t="s">
        <v>42</v>
      </c>
      <c r="B33" s="13" t="str">
        <f t="shared" si="1"/>
        <v>GG_WP.0001.0029 -  Уголок левый.ipt</v>
      </c>
      <c r="C33" s="3" t="s">
        <v>95</v>
      </c>
      <c r="D33" s="3" t="s">
        <v>72</v>
      </c>
      <c r="E33" s="4" t="s">
        <v>25</v>
      </c>
      <c r="F33" s="3" t="s">
        <v>28</v>
      </c>
      <c r="G33" s="3" t="s">
        <v>96</v>
      </c>
      <c r="H33" s="18">
        <v>46083</v>
      </c>
      <c r="I33" s="3" t="s">
        <v>97</v>
      </c>
      <c r="J33" s="18">
        <v>46083</v>
      </c>
      <c r="K33" s="3" t="s">
        <v>35</v>
      </c>
      <c r="L33" s="3" t="s">
        <v>35</v>
      </c>
      <c r="M33" s="3" t="s">
        <v>97</v>
      </c>
      <c r="N33" s="18">
        <v>46083</v>
      </c>
      <c r="O33" s="3" t="s">
        <v>97</v>
      </c>
      <c r="P33" s="18">
        <v>46083</v>
      </c>
      <c r="Q33" s="3" t="s">
        <v>97</v>
      </c>
      <c r="R33" s="18">
        <v>46083</v>
      </c>
      <c r="S33" s="3" t="s">
        <v>98</v>
      </c>
    </row>
    <row r="34" spans="1:19" x14ac:dyDescent="0.25">
      <c r="A34" s="16" t="s">
        <v>22</v>
      </c>
      <c r="B34" s="17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</row>
    <row r="35" spans="1:19" ht="28.5" x14ac:dyDescent="0.25">
      <c r="A35" s="4" t="s">
        <v>49</v>
      </c>
      <c r="B35" s="13" t="str">
        <f t="shared" si="1"/>
        <v>Гайка для контактной сварки DIN 929-M5-A2.ipt</v>
      </c>
      <c r="C35" s="4" t="s">
        <v>35</v>
      </c>
      <c r="D35" s="4" t="s">
        <v>33</v>
      </c>
      <c r="E35" s="4" t="s">
        <v>25</v>
      </c>
      <c r="F35" s="4" t="s">
        <v>32</v>
      </c>
      <c r="G35" s="4" t="s">
        <v>35</v>
      </c>
      <c r="H35" s="4" t="s">
        <v>35</v>
      </c>
      <c r="I35" s="4" t="s">
        <v>35</v>
      </c>
      <c r="J35" s="4" t="s">
        <v>35</v>
      </c>
      <c r="K35" s="4" t="s">
        <v>35</v>
      </c>
      <c r="L35" s="4" t="s">
        <v>35</v>
      </c>
      <c r="M35" s="4" t="s">
        <v>35</v>
      </c>
      <c r="N35" s="4" t="s">
        <v>35</v>
      </c>
      <c r="O35" s="4" t="s">
        <v>35</v>
      </c>
      <c r="P35" s="4" t="s">
        <v>35</v>
      </c>
      <c r="Q35" s="4" t="s">
        <v>35</v>
      </c>
      <c r="R35" s="4" t="s">
        <v>35</v>
      </c>
      <c r="S35" s="4" t="s">
        <v>35</v>
      </c>
    </row>
    <row r="36" spans="1:19" ht="28.5" x14ac:dyDescent="0.25">
      <c r="A36" s="4" t="s">
        <v>50</v>
      </c>
      <c r="B36" s="13" t="str">
        <f t="shared" si="1"/>
        <v>Шпилька DIN976-1-M6x40-B-8.8-A2.ipt</v>
      </c>
      <c r="C36" s="4" t="s">
        <v>35</v>
      </c>
      <c r="D36" s="4" t="s">
        <v>34</v>
      </c>
      <c r="E36" s="4" t="s">
        <v>25</v>
      </c>
      <c r="F36" s="4" t="s">
        <v>32</v>
      </c>
      <c r="G36" s="4" t="s">
        <v>35</v>
      </c>
      <c r="H36" s="4" t="s">
        <v>35</v>
      </c>
      <c r="I36" s="4" t="s">
        <v>35</v>
      </c>
      <c r="J36" s="4" t="s">
        <v>35</v>
      </c>
      <c r="K36" s="4" t="s">
        <v>35</v>
      </c>
      <c r="L36" s="4" t="s">
        <v>35</v>
      </c>
      <c r="M36" s="4" t="s">
        <v>35</v>
      </c>
      <c r="N36" s="4" t="s">
        <v>35</v>
      </c>
      <c r="O36" s="4" t="s">
        <v>35</v>
      </c>
      <c r="P36" s="4" t="s">
        <v>35</v>
      </c>
      <c r="Q36" s="4" t="s">
        <v>35</v>
      </c>
      <c r="R36" s="4" t="s">
        <v>35</v>
      </c>
      <c r="S36" s="4" t="s">
        <v>35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НА ПАРСИНГ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Крисковец</dc:creator>
  <cp:lastModifiedBy>Дмитрий Крисковец</cp:lastModifiedBy>
  <dcterms:created xsi:type="dcterms:W3CDTF">2015-06-05T18:17:20Z</dcterms:created>
  <dcterms:modified xsi:type="dcterms:W3CDTF">2026-04-14T12:13:59Z</dcterms:modified>
</cp:coreProperties>
</file>